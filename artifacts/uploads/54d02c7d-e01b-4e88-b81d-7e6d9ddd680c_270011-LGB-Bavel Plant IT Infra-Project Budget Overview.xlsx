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Sales Operations-08.01.24\FY26-27\8.LGB-Bavel Plant\"/>
    </mc:Choice>
  </mc:AlternateContent>
  <xr:revisionPtr revIDLastSave="0" documentId="13_ncr:1_{F9A01C78-CB91-4003-82A5-25C3607EAD32}" xr6:coauthVersionLast="47" xr6:coauthVersionMax="47" xr10:uidLastSave="{00000000-0000-0000-0000-000000000000}"/>
  <bookViews>
    <workbookView xWindow="-120" yWindow="-120" windowWidth="20730" windowHeight="11040" tabRatio="432" xr2:uid="{00000000-000D-0000-FFFF-FFFF00000000}"/>
  </bookViews>
  <sheets>
    <sheet name="Project Budget Overview" sheetId="12" r:id="rId1"/>
    <sheet name="Workforce Budget" sheetId="4" r:id="rId2"/>
    <sheet name="AM Costing" sheetId="19" r:id="rId3"/>
    <sheet name="Practices" sheetId="17" state="hidden" r:id="rId4"/>
  </sheets>
  <definedNames>
    <definedName name="_xlnm._FilterDatabase" localSheetId="0" hidden="1">'Project Budget Overview'!$B$27:$M$79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5" i="19" l="1"/>
  <c r="M85" i="19" s="1"/>
  <c r="J85" i="19"/>
  <c r="G85" i="19"/>
  <c r="K84" i="19"/>
  <c r="L84" i="19" s="1"/>
  <c r="M84" i="19" s="1"/>
  <c r="J84" i="19"/>
  <c r="G84" i="19"/>
  <c r="K83" i="19"/>
  <c r="L83" i="19" s="1"/>
  <c r="M83" i="19" s="1"/>
  <c r="J83" i="19"/>
  <c r="G83" i="19"/>
  <c r="M82" i="19"/>
  <c r="L82" i="19"/>
  <c r="K82" i="19"/>
  <c r="J82" i="19"/>
  <c r="G82" i="19"/>
  <c r="K81" i="19"/>
  <c r="L81" i="19" s="1"/>
  <c r="M81" i="19" s="1"/>
  <c r="J81" i="19"/>
  <c r="G81" i="19"/>
  <c r="K80" i="19"/>
  <c r="L80" i="19" s="1"/>
  <c r="D80" i="19"/>
  <c r="J80" i="19" s="1"/>
  <c r="L79" i="19"/>
  <c r="M79" i="19" s="1"/>
  <c r="K79" i="19"/>
  <c r="J79" i="19"/>
  <c r="G79" i="19"/>
  <c r="K78" i="19"/>
  <c r="L78" i="19" s="1"/>
  <c r="M78" i="19" s="1"/>
  <c r="J78" i="19"/>
  <c r="G78" i="19"/>
  <c r="K77" i="19"/>
  <c r="L77" i="19" s="1"/>
  <c r="M77" i="19" s="1"/>
  <c r="J77" i="19"/>
  <c r="G77" i="19"/>
  <c r="K76" i="19"/>
  <c r="L76" i="19" s="1"/>
  <c r="M76" i="19" s="1"/>
  <c r="J76" i="19"/>
  <c r="G76" i="19"/>
  <c r="K75" i="19"/>
  <c r="L75" i="19" s="1"/>
  <c r="M75" i="19" s="1"/>
  <c r="J75" i="19"/>
  <c r="G75" i="19"/>
  <c r="M74" i="19"/>
  <c r="K74" i="19"/>
  <c r="L74" i="19" s="1"/>
  <c r="J74" i="19"/>
  <c r="G74" i="19"/>
  <c r="K73" i="19"/>
  <c r="L73" i="19" s="1"/>
  <c r="M73" i="19" s="1"/>
  <c r="J73" i="19"/>
  <c r="G73" i="19"/>
  <c r="K72" i="19"/>
  <c r="L72" i="19" s="1"/>
  <c r="M72" i="19" s="1"/>
  <c r="J72" i="19"/>
  <c r="G72" i="19"/>
  <c r="L71" i="19"/>
  <c r="M71" i="19" s="1"/>
  <c r="K71" i="19"/>
  <c r="J71" i="19"/>
  <c r="G71" i="19"/>
  <c r="K70" i="19"/>
  <c r="L70" i="19" s="1"/>
  <c r="M70" i="19" s="1"/>
  <c r="J70" i="19"/>
  <c r="G70" i="19"/>
  <c r="K69" i="19"/>
  <c r="L69" i="19" s="1"/>
  <c r="M69" i="19" s="1"/>
  <c r="J69" i="19"/>
  <c r="G69" i="19"/>
  <c r="K68" i="19"/>
  <c r="L68" i="19" s="1"/>
  <c r="M68" i="19" s="1"/>
  <c r="J68" i="19"/>
  <c r="G68" i="19"/>
  <c r="K67" i="19"/>
  <c r="L67" i="19" s="1"/>
  <c r="M67" i="19" s="1"/>
  <c r="J67" i="19"/>
  <c r="J87" i="19" s="1"/>
  <c r="D67" i="19"/>
  <c r="G67" i="19" s="1"/>
  <c r="L66" i="19"/>
  <c r="M66" i="19" s="1"/>
  <c r="J66" i="19"/>
  <c r="K65" i="19"/>
  <c r="I65" i="19"/>
  <c r="L65" i="19" s="1"/>
  <c r="M65" i="19" s="1"/>
  <c r="G65" i="19"/>
  <c r="K64" i="19"/>
  <c r="L64" i="19" s="1"/>
  <c r="M64" i="19" s="1"/>
  <c r="J64" i="19"/>
  <c r="G64" i="19"/>
  <c r="L63" i="19"/>
  <c r="M63" i="19" s="1"/>
  <c r="K63" i="19"/>
  <c r="I63" i="19"/>
  <c r="J63" i="19" s="1"/>
  <c r="G63" i="19"/>
  <c r="K62" i="19"/>
  <c r="L62" i="19" s="1"/>
  <c r="M62" i="19" s="1"/>
  <c r="J62" i="19"/>
  <c r="I62" i="19"/>
  <c r="G62" i="19"/>
  <c r="K61" i="19"/>
  <c r="L61" i="19" s="1"/>
  <c r="M61" i="19" s="1"/>
  <c r="J61" i="19"/>
  <c r="M60" i="19"/>
  <c r="L60" i="19"/>
  <c r="K60" i="19"/>
  <c r="J60" i="19"/>
  <c r="G60" i="19"/>
  <c r="K59" i="19"/>
  <c r="L59" i="19" s="1"/>
  <c r="M59" i="19" s="1"/>
  <c r="J59" i="19"/>
  <c r="G59" i="19"/>
  <c r="K58" i="19"/>
  <c r="J58" i="19"/>
  <c r="K57" i="19"/>
  <c r="L57" i="19" s="1"/>
  <c r="M57" i="19" s="1"/>
  <c r="J57" i="19"/>
  <c r="G57" i="19"/>
  <c r="M56" i="19"/>
  <c r="K56" i="19"/>
  <c r="L56" i="19" s="1"/>
  <c r="J56" i="19"/>
  <c r="G56" i="19"/>
  <c r="K55" i="19"/>
  <c r="L55" i="19" s="1"/>
  <c r="M55" i="19" s="1"/>
  <c r="J55" i="19"/>
  <c r="G55" i="19"/>
  <c r="K54" i="19"/>
  <c r="L54" i="19" s="1"/>
  <c r="M54" i="19" s="1"/>
  <c r="J54" i="19"/>
  <c r="G54" i="19"/>
  <c r="L53" i="19"/>
  <c r="M53" i="19" s="1"/>
  <c r="K53" i="19"/>
  <c r="J53" i="19"/>
  <c r="G53" i="19"/>
  <c r="K52" i="19"/>
  <c r="L52" i="19" s="1"/>
  <c r="M52" i="19" s="1"/>
  <c r="J52" i="19"/>
  <c r="G52" i="19"/>
  <c r="K51" i="19"/>
  <c r="J51" i="19"/>
  <c r="K50" i="19"/>
  <c r="L50" i="19" s="1"/>
  <c r="M50" i="19" s="1"/>
  <c r="J50" i="19"/>
  <c r="G50" i="19"/>
  <c r="M49" i="19"/>
  <c r="K49" i="19"/>
  <c r="L49" i="19" s="1"/>
  <c r="J49" i="19"/>
  <c r="G49" i="19"/>
  <c r="K48" i="19"/>
  <c r="J48" i="19"/>
  <c r="M47" i="19"/>
  <c r="L47" i="19"/>
  <c r="K47" i="19"/>
  <c r="J47" i="19"/>
  <c r="G47" i="19"/>
  <c r="K46" i="19"/>
  <c r="L46" i="19" s="1"/>
  <c r="M46" i="19" s="1"/>
  <c r="J46" i="19"/>
  <c r="G46" i="19"/>
  <c r="K45" i="19"/>
  <c r="L45" i="19" s="1"/>
  <c r="M45" i="19" s="1"/>
  <c r="J45" i="19"/>
  <c r="G45" i="19"/>
  <c r="K44" i="19"/>
  <c r="L44" i="19" s="1"/>
  <c r="M44" i="19" s="1"/>
  <c r="J44" i="19"/>
  <c r="K43" i="19"/>
  <c r="L43" i="19" s="1"/>
  <c r="M43" i="19" s="1"/>
  <c r="J43" i="19"/>
  <c r="G43" i="19"/>
  <c r="L42" i="19"/>
  <c r="M42" i="19" s="1"/>
  <c r="K42" i="19"/>
  <c r="J42" i="19"/>
  <c r="G42" i="19"/>
  <c r="L41" i="19"/>
  <c r="M41" i="19" s="1"/>
  <c r="K41" i="19"/>
  <c r="J41" i="19"/>
  <c r="G41" i="19"/>
  <c r="K40" i="19"/>
  <c r="L40" i="19" s="1"/>
  <c r="M40" i="19" s="1"/>
  <c r="J40" i="19"/>
  <c r="G40" i="19"/>
  <c r="L39" i="19"/>
  <c r="M39" i="19" s="1"/>
  <c r="K39" i="19"/>
  <c r="J39" i="19"/>
  <c r="G39" i="19"/>
  <c r="K38" i="19"/>
  <c r="L38" i="19" s="1"/>
  <c r="M38" i="19" s="1"/>
  <c r="J38" i="19"/>
  <c r="G38" i="19"/>
  <c r="K37" i="19"/>
  <c r="L37" i="19" s="1"/>
  <c r="M37" i="19" s="1"/>
  <c r="J37" i="19"/>
  <c r="G37" i="19"/>
  <c r="K36" i="19"/>
  <c r="L36" i="19" s="1"/>
  <c r="M36" i="19" s="1"/>
  <c r="J36" i="19"/>
  <c r="G36" i="19"/>
  <c r="K35" i="19"/>
  <c r="L35" i="19" s="1"/>
  <c r="M35" i="19" s="1"/>
  <c r="J35" i="19"/>
  <c r="G35" i="19"/>
  <c r="L34" i="19"/>
  <c r="M34" i="19" s="1"/>
  <c r="K34" i="19"/>
  <c r="J34" i="19"/>
  <c r="G34" i="19"/>
  <c r="N33" i="19"/>
  <c r="O33" i="19" s="1"/>
  <c r="L33" i="19"/>
  <c r="M33" i="19" s="1"/>
  <c r="K33" i="19"/>
  <c r="J33" i="19"/>
  <c r="G33" i="19"/>
  <c r="K32" i="19"/>
  <c r="L32" i="19" s="1"/>
  <c r="M32" i="19" s="1"/>
  <c r="J32" i="19"/>
  <c r="M31" i="19"/>
  <c r="L31" i="19"/>
  <c r="K31" i="19"/>
  <c r="J31" i="19"/>
  <c r="G31" i="19"/>
  <c r="K30" i="19"/>
  <c r="L30" i="19" s="1"/>
  <c r="M30" i="19" s="1"/>
  <c r="J30" i="19"/>
  <c r="G30" i="19"/>
  <c r="K29" i="19"/>
  <c r="L29" i="19" s="1"/>
  <c r="M29" i="19" s="1"/>
  <c r="J29" i="19"/>
  <c r="G29" i="19"/>
  <c r="K28" i="19"/>
  <c r="L28" i="19" s="1"/>
  <c r="M28" i="19" s="1"/>
  <c r="J28" i="19"/>
  <c r="G28" i="19"/>
  <c r="K27" i="19"/>
  <c r="L27" i="19" s="1"/>
  <c r="M27" i="19" s="1"/>
  <c r="J27" i="19"/>
  <c r="G27" i="19"/>
  <c r="K26" i="19"/>
  <c r="L26" i="19" s="1"/>
  <c r="M26" i="19" s="1"/>
  <c r="J26" i="19"/>
  <c r="G26" i="19"/>
  <c r="K25" i="19"/>
  <c r="L25" i="19" s="1"/>
  <c r="M25" i="19" s="1"/>
  <c r="J25" i="19"/>
  <c r="K24" i="19"/>
  <c r="L24" i="19" s="1"/>
  <c r="M24" i="19" s="1"/>
  <c r="J24" i="19"/>
  <c r="G24" i="19"/>
  <c r="L23" i="19"/>
  <c r="M23" i="19" s="1"/>
  <c r="K23" i="19"/>
  <c r="J23" i="19"/>
  <c r="G23" i="19"/>
  <c r="K22" i="19"/>
  <c r="L22" i="19" s="1"/>
  <c r="M22" i="19" s="1"/>
  <c r="J22" i="19"/>
  <c r="G22" i="19"/>
  <c r="K21" i="19"/>
  <c r="L21" i="19" s="1"/>
  <c r="M21" i="19" s="1"/>
  <c r="J21" i="19"/>
  <c r="L20" i="19"/>
  <c r="M20" i="19" s="1"/>
  <c r="K20" i="19"/>
  <c r="J20" i="19"/>
  <c r="G20" i="19"/>
  <c r="K19" i="19"/>
  <c r="L19" i="19" s="1"/>
  <c r="M19" i="19" s="1"/>
  <c r="J19" i="19"/>
  <c r="G19" i="19"/>
  <c r="L18" i="19"/>
  <c r="M18" i="19" s="1"/>
  <c r="K18" i="19"/>
  <c r="J18" i="19"/>
  <c r="G18" i="19"/>
  <c r="K17" i="19"/>
  <c r="L17" i="19" s="1"/>
  <c r="M17" i="19" s="1"/>
  <c r="J17" i="19"/>
  <c r="G17" i="19"/>
  <c r="K16" i="19"/>
  <c r="L16" i="19" s="1"/>
  <c r="M16" i="19" s="1"/>
  <c r="J16" i="19"/>
  <c r="G16" i="19"/>
  <c r="K15" i="19"/>
  <c r="L15" i="19" s="1"/>
  <c r="M15" i="19" s="1"/>
  <c r="J15" i="19"/>
  <c r="K14" i="19"/>
  <c r="L14" i="19" s="1"/>
  <c r="M14" i="19" s="1"/>
  <c r="J14" i="19"/>
  <c r="G14" i="19"/>
  <c r="K13" i="19"/>
  <c r="L13" i="19" s="1"/>
  <c r="M13" i="19" s="1"/>
  <c r="J13" i="19"/>
  <c r="G13" i="19"/>
  <c r="K12" i="19"/>
  <c r="L12" i="19" s="1"/>
  <c r="M12" i="19" s="1"/>
  <c r="J12" i="19"/>
  <c r="G12" i="19"/>
  <c r="K11" i="19"/>
  <c r="L11" i="19" s="1"/>
  <c r="M11" i="19" s="1"/>
  <c r="J11" i="19"/>
  <c r="G11" i="19"/>
  <c r="K10" i="19"/>
  <c r="L10" i="19" s="1"/>
  <c r="M10" i="19" s="1"/>
  <c r="J10" i="19"/>
  <c r="G10" i="19"/>
  <c r="K9" i="19"/>
  <c r="L9" i="19" s="1"/>
  <c r="M9" i="19" s="1"/>
  <c r="J9" i="19"/>
  <c r="L8" i="19"/>
  <c r="M8" i="19" s="1"/>
  <c r="K8" i="19"/>
  <c r="I8" i="19"/>
  <c r="J8" i="19" s="1"/>
  <c r="G8" i="19"/>
  <c r="K7" i="19"/>
  <c r="I7" i="19"/>
  <c r="L7" i="19" s="1"/>
  <c r="M7" i="19" s="1"/>
  <c r="G7" i="19"/>
  <c r="K6" i="19"/>
  <c r="L6" i="19" s="1"/>
  <c r="M6" i="19" s="1"/>
  <c r="J6" i="19"/>
  <c r="G6" i="19"/>
  <c r="L5" i="19"/>
  <c r="M5" i="19" s="1"/>
  <c r="K5" i="19"/>
  <c r="J5" i="19"/>
  <c r="G5" i="19"/>
  <c r="K4" i="19"/>
  <c r="L4" i="19" s="1"/>
  <c r="M4" i="19" s="1"/>
  <c r="J4" i="19"/>
  <c r="G4" i="19"/>
  <c r="C17" i="12"/>
  <c r="F29" i="12"/>
  <c r="H29" i="12"/>
  <c r="L29" i="12" s="1"/>
  <c r="M29" i="12" s="1"/>
  <c r="F30" i="12"/>
  <c r="H30" i="12"/>
  <c r="F31" i="12"/>
  <c r="H31" i="12"/>
  <c r="I31" i="12" s="1"/>
  <c r="J31" i="12" s="1"/>
  <c r="F32" i="12"/>
  <c r="H32" i="12"/>
  <c r="I32" i="12" s="1"/>
  <c r="J32" i="12" s="1"/>
  <c r="F33" i="12"/>
  <c r="H33" i="12"/>
  <c r="L33" i="12" s="1"/>
  <c r="M33" i="12" s="1"/>
  <c r="F34" i="12"/>
  <c r="H34" i="12"/>
  <c r="L34" i="12" s="1"/>
  <c r="M34" i="12" s="1"/>
  <c r="F35" i="12"/>
  <c r="H35" i="12"/>
  <c r="F36" i="12"/>
  <c r="H36" i="12"/>
  <c r="F37" i="12"/>
  <c r="H37" i="12"/>
  <c r="L37" i="12" s="1"/>
  <c r="M37" i="12" s="1"/>
  <c r="F38" i="12"/>
  <c r="H38" i="12"/>
  <c r="L38" i="12" s="1"/>
  <c r="M38" i="12" s="1"/>
  <c r="F39" i="12"/>
  <c r="H39" i="12"/>
  <c r="F40" i="12"/>
  <c r="H40" i="12"/>
  <c r="F41" i="12"/>
  <c r="H41" i="12"/>
  <c r="L41" i="12" s="1"/>
  <c r="M41" i="12" s="1"/>
  <c r="F42" i="12"/>
  <c r="H42" i="12"/>
  <c r="L42" i="12" s="1"/>
  <c r="M42" i="12" s="1"/>
  <c r="F43" i="12"/>
  <c r="H43" i="12"/>
  <c r="F44" i="12"/>
  <c r="H44" i="12"/>
  <c r="F45" i="12"/>
  <c r="H45" i="12"/>
  <c r="L45" i="12" s="1"/>
  <c r="M45" i="12" s="1"/>
  <c r="F46" i="12"/>
  <c r="H46" i="12"/>
  <c r="L46" i="12" s="1"/>
  <c r="M46" i="12" s="1"/>
  <c r="F47" i="12"/>
  <c r="H47" i="12"/>
  <c r="F48" i="12"/>
  <c r="H48" i="12"/>
  <c r="F49" i="12"/>
  <c r="H49" i="12"/>
  <c r="L49" i="12" s="1"/>
  <c r="M49" i="12" s="1"/>
  <c r="F50" i="12"/>
  <c r="H50" i="12"/>
  <c r="L50" i="12" s="1"/>
  <c r="M50" i="12" s="1"/>
  <c r="F51" i="12"/>
  <c r="H51" i="12"/>
  <c r="L51" i="12" s="1"/>
  <c r="M51" i="12" s="1"/>
  <c r="F52" i="12"/>
  <c r="H52" i="12"/>
  <c r="F53" i="12"/>
  <c r="H53" i="12"/>
  <c r="L53" i="12" s="1"/>
  <c r="M53" i="12" s="1"/>
  <c r="F54" i="12"/>
  <c r="H54" i="12"/>
  <c r="L54" i="12" s="1"/>
  <c r="M54" i="12" s="1"/>
  <c r="F55" i="12"/>
  <c r="H55" i="12"/>
  <c r="I55" i="12" s="1"/>
  <c r="J55" i="12" s="1"/>
  <c r="F56" i="12"/>
  <c r="H56" i="12"/>
  <c r="F57" i="12"/>
  <c r="H57" i="12"/>
  <c r="L57" i="12" s="1"/>
  <c r="M57" i="12" s="1"/>
  <c r="F58" i="12"/>
  <c r="H58" i="12"/>
  <c r="L58" i="12" s="1"/>
  <c r="M58" i="12" s="1"/>
  <c r="F59" i="12"/>
  <c r="H59" i="12"/>
  <c r="L59" i="12"/>
  <c r="M59" i="12" s="1"/>
  <c r="F60" i="12"/>
  <c r="H60" i="12"/>
  <c r="F61" i="12"/>
  <c r="H61" i="12"/>
  <c r="L61" i="12" s="1"/>
  <c r="M61" i="12" s="1"/>
  <c r="F62" i="12"/>
  <c r="I62" i="12" s="1"/>
  <c r="J62" i="12" s="1"/>
  <c r="H62" i="12"/>
  <c r="L62" i="12" s="1"/>
  <c r="M62" i="12" s="1"/>
  <c r="F63" i="12"/>
  <c r="H63" i="12"/>
  <c r="L63" i="12" s="1"/>
  <c r="M63" i="12" s="1"/>
  <c r="F64" i="12"/>
  <c r="H64" i="12"/>
  <c r="F65" i="12"/>
  <c r="H65" i="12"/>
  <c r="F66" i="12"/>
  <c r="H66" i="12"/>
  <c r="L66" i="12" s="1"/>
  <c r="M66" i="12" s="1"/>
  <c r="F67" i="12"/>
  <c r="H67" i="12"/>
  <c r="F68" i="12"/>
  <c r="H68" i="12"/>
  <c r="F69" i="12"/>
  <c r="H69" i="12"/>
  <c r="F70" i="12"/>
  <c r="H70" i="12"/>
  <c r="L70" i="12" s="1"/>
  <c r="M70" i="12" s="1"/>
  <c r="F71" i="12"/>
  <c r="H71" i="12"/>
  <c r="L71" i="12"/>
  <c r="M71" i="12" s="1"/>
  <c r="F72" i="12"/>
  <c r="H72" i="12"/>
  <c r="F73" i="12"/>
  <c r="H73" i="12"/>
  <c r="I73" i="12" s="1"/>
  <c r="J73" i="12" s="1"/>
  <c r="F74" i="12"/>
  <c r="H74" i="12"/>
  <c r="L74" i="12" s="1"/>
  <c r="M74" i="12" s="1"/>
  <c r="F75" i="12"/>
  <c r="H75" i="12"/>
  <c r="F76" i="12"/>
  <c r="H76" i="12"/>
  <c r="F77" i="12"/>
  <c r="H77" i="12"/>
  <c r="F78" i="12"/>
  <c r="H78" i="12"/>
  <c r="L78" i="12" s="1"/>
  <c r="M78" i="12" s="1"/>
  <c r="J7" i="19" l="1"/>
  <c r="G80" i="19"/>
  <c r="M80" i="19"/>
  <c r="J65" i="19"/>
  <c r="J86" i="19" s="1"/>
  <c r="J91" i="19" s="1"/>
  <c r="G86" i="19"/>
  <c r="I77" i="12"/>
  <c r="J77" i="12" s="1"/>
  <c r="I76" i="12"/>
  <c r="J76" i="12" s="1"/>
  <c r="I39" i="12"/>
  <c r="J39" i="12" s="1"/>
  <c r="I75" i="12"/>
  <c r="J75" i="12" s="1"/>
  <c r="I71" i="12"/>
  <c r="J71" i="12" s="1"/>
  <c r="I68" i="12"/>
  <c r="J68" i="12" s="1"/>
  <c r="I67" i="12"/>
  <c r="J67" i="12" s="1"/>
  <c r="I59" i="12"/>
  <c r="J59" i="12" s="1"/>
  <c r="I43" i="12"/>
  <c r="J43" i="12" s="1"/>
  <c r="I40" i="12"/>
  <c r="J40" i="12" s="1"/>
  <c r="I35" i="12"/>
  <c r="J35" i="12" s="1"/>
  <c r="I30" i="12"/>
  <c r="J30" i="12" s="1"/>
  <c r="I47" i="12"/>
  <c r="J47" i="12" s="1"/>
  <c r="I69" i="12"/>
  <c r="J69" i="12" s="1"/>
  <c r="I46" i="12"/>
  <c r="J46" i="12" s="1"/>
  <c r="I58" i="12"/>
  <c r="J58" i="12" s="1"/>
  <c r="I63" i="12"/>
  <c r="J63" i="12" s="1"/>
  <c r="I56" i="12"/>
  <c r="J56" i="12" s="1"/>
  <c r="I52" i="12"/>
  <c r="J52" i="12" s="1"/>
  <c r="I48" i="12"/>
  <c r="J48" i="12" s="1"/>
  <c r="I74" i="12"/>
  <c r="J74" i="12" s="1"/>
  <c r="I70" i="12"/>
  <c r="J70" i="12" s="1"/>
  <c r="I66" i="12"/>
  <c r="J66" i="12" s="1"/>
  <c r="I57" i="12"/>
  <c r="J57" i="12" s="1"/>
  <c r="L55" i="12"/>
  <c r="M55" i="12" s="1"/>
  <c r="I54" i="12"/>
  <c r="J54" i="12" s="1"/>
  <c r="I61" i="12"/>
  <c r="J61" i="12" s="1"/>
  <c r="I50" i="12"/>
  <c r="J50" i="12" s="1"/>
  <c r="I45" i="12"/>
  <c r="J45" i="12" s="1"/>
  <c r="L43" i="12"/>
  <c r="M43" i="12" s="1"/>
  <c r="L39" i="12"/>
  <c r="M39" i="12" s="1"/>
  <c r="I42" i="12"/>
  <c r="J42" i="12" s="1"/>
  <c r="I33" i="12"/>
  <c r="J33" i="12" s="1"/>
  <c r="I37" i="12"/>
  <c r="J37" i="12" s="1"/>
  <c r="L35" i="12"/>
  <c r="M35" i="12" s="1"/>
  <c r="I29" i="12"/>
  <c r="J29" i="12" s="1"/>
  <c r="L30" i="12"/>
  <c r="M30" i="12" s="1"/>
  <c r="I78" i="12"/>
  <c r="J78" i="12" s="1"/>
  <c r="L75" i="12"/>
  <c r="M75" i="12" s="1"/>
  <c r="I72" i="12"/>
  <c r="J72" i="12" s="1"/>
  <c r="L67" i="12"/>
  <c r="M67" i="12" s="1"/>
  <c r="I65" i="12"/>
  <c r="J65" i="12" s="1"/>
  <c r="I64" i="12"/>
  <c r="J64" i="12" s="1"/>
  <c r="I53" i="12"/>
  <c r="J53" i="12" s="1"/>
  <c r="I60" i="12"/>
  <c r="J60" i="12" s="1"/>
  <c r="I49" i="12"/>
  <c r="J49" i="12" s="1"/>
  <c r="I51" i="12"/>
  <c r="J51" i="12" s="1"/>
  <c r="L47" i="12"/>
  <c r="M47" i="12" s="1"/>
  <c r="I44" i="12"/>
  <c r="J44" i="12" s="1"/>
  <c r="I38" i="12"/>
  <c r="J38" i="12" s="1"/>
  <c r="I41" i="12"/>
  <c r="J41" i="12" s="1"/>
  <c r="I34" i="12"/>
  <c r="J34" i="12" s="1"/>
  <c r="I36" i="12"/>
  <c r="J36" i="12" s="1"/>
  <c r="L31" i="12"/>
  <c r="M31" i="12" s="1"/>
  <c r="L76" i="12"/>
  <c r="M76" i="12" s="1"/>
  <c r="L72" i="12"/>
  <c r="M72" i="12" s="1"/>
  <c r="L68" i="12"/>
  <c r="M68" i="12" s="1"/>
  <c r="L64" i="12"/>
  <c r="M64" i="12" s="1"/>
  <c r="L60" i="12"/>
  <c r="M60" i="12" s="1"/>
  <c r="L56" i="12"/>
  <c r="M56" i="12" s="1"/>
  <c r="L52" i="12"/>
  <c r="M52" i="12" s="1"/>
  <c r="L48" i="12"/>
  <c r="M48" i="12" s="1"/>
  <c r="L44" i="12"/>
  <c r="M44" i="12" s="1"/>
  <c r="L40" i="12"/>
  <c r="M40" i="12" s="1"/>
  <c r="L36" i="12"/>
  <c r="M36" i="12" s="1"/>
  <c r="L32" i="12"/>
  <c r="M32" i="12" s="1"/>
  <c r="L77" i="12"/>
  <c r="M77" i="12" s="1"/>
  <c r="L73" i="12"/>
  <c r="M73" i="12" s="1"/>
  <c r="L69" i="12"/>
  <c r="M69" i="12" s="1"/>
  <c r="L65" i="12"/>
  <c r="M65" i="12" s="1"/>
  <c r="J94" i="19" l="1"/>
  <c r="J93" i="19" s="1"/>
  <c r="J92" i="19" s="1"/>
  <c r="G87" i="19"/>
  <c r="G88" i="19" s="1"/>
  <c r="C22" i="12"/>
  <c r="C23" i="12" s="1"/>
  <c r="E11" i="4" l="1"/>
  <c r="F11" i="4"/>
  <c r="G11" i="4"/>
  <c r="H11" i="4"/>
  <c r="I11" i="4"/>
  <c r="J11" i="4"/>
  <c r="K11" i="4"/>
  <c r="L11" i="4"/>
  <c r="M11" i="4"/>
  <c r="N11" i="4"/>
  <c r="O11" i="4"/>
  <c r="D11" i="4"/>
  <c r="C40" i="4"/>
  <c r="E30" i="4"/>
  <c r="F30" i="4"/>
  <c r="G30" i="4"/>
  <c r="H30" i="4"/>
  <c r="I30" i="4"/>
  <c r="J30" i="4"/>
  <c r="K30" i="4"/>
  <c r="L30" i="4"/>
  <c r="M30" i="4"/>
  <c r="N30" i="4"/>
  <c r="O30" i="4"/>
  <c r="D30" i="4"/>
  <c r="O31" i="4" s="1"/>
  <c r="O23" i="4"/>
  <c r="E23" i="4"/>
  <c r="F23" i="4"/>
  <c r="G23" i="4"/>
  <c r="H23" i="4"/>
  <c r="I23" i="4"/>
  <c r="J23" i="4"/>
  <c r="K23" i="4"/>
  <c r="L23" i="4"/>
  <c r="M23" i="4"/>
  <c r="N23" i="4"/>
  <c r="D23" i="4"/>
  <c r="H28" i="12"/>
  <c r="L28" i="12" s="1"/>
  <c r="F28" i="12"/>
  <c r="D17" i="4"/>
  <c r="M28" i="12" l="1"/>
  <c r="I28" i="12"/>
  <c r="J28" i="12" s="1"/>
  <c r="N17" i="4"/>
  <c r="M17" i="4"/>
  <c r="L17" i="4"/>
  <c r="K17" i="4"/>
  <c r="I17" i="4"/>
  <c r="H17" i="4"/>
  <c r="G17" i="4"/>
  <c r="F17" i="4"/>
  <c r="O17" i="4"/>
  <c r="J17" i="4"/>
  <c r="C18" i="12" s="1"/>
  <c r="E17" i="4"/>
  <c r="H79" i="12"/>
  <c r="F79" i="12"/>
  <c r="O18" i="4" l="1"/>
  <c r="I79" i="12"/>
  <c r="J79" i="12" s="1"/>
  <c r="C13" i="12"/>
  <c r="C14" i="12"/>
  <c r="M79" i="12" l="1"/>
  <c r="L79" i="12"/>
  <c r="C15" i="12" s="1"/>
  <c r="C16" i="12" s="1"/>
  <c r="C20" i="12" l="1"/>
  <c r="C21" i="12" s="1"/>
  <c r="C24" i="12" s="1"/>
</calcChain>
</file>

<file path=xl/sharedStrings.xml><?xml version="1.0" encoding="utf-8"?>
<sst xmlns="http://schemas.openxmlformats.org/spreadsheetml/2006/main" count="946" uniqueCount="409">
  <si>
    <t xml:space="preserve">ARCHE GLOBAL PRIVATE LIMITED  </t>
  </si>
  <si>
    <t>Account Manager</t>
  </si>
  <si>
    <t>Customer</t>
  </si>
  <si>
    <t>SBU</t>
  </si>
  <si>
    <t>Professional Service</t>
  </si>
  <si>
    <t>Managed Service</t>
  </si>
  <si>
    <t>Project</t>
  </si>
  <si>
    <t>Project Duration</t>
  </si>
  <si>
    <t>PO Reference</t>
  </si>
  <si>
    <t>Amendment Details</t>
  </si>
  <si>
    <t>Project Budget Overview</t>
  </si>
  <si>
    <t>Total Cost Price</t>
  </si>
  <si>
    <t>Total Sell Price</t>
  </si>
  <si>
    <t>GST</t>
  </si>
  <si>
    <t>Total Sell Price with GST</t>
  </si>
  <si>
    <t xml:space="preserve">PMC Cost </t>
  </si>
  <si>
    <t>Margin Amount</t>
  </si>
  <si>
    <t xml:space="preserve">Margin % </t>
  </si>
  <si>
    <t>Sl.No</t>
  </si>
  <si>
    <t>SAP Material ID</t>
  </si>
  <si>
    <t>Description</t>
  </si>
  <si>
    <t>Qty</t>
  </si>
  <si>
    <t>Purchase Unit Price</t>
  </si>
  <si>
    <t>Purchase Total</t>
  </si>
  <si>
    <t>Selling Unit Price</t>
  </si>
  <si>
    <t>Selling Total</t>
  </si>
  <si>
    <t xml:space="preserve">GM </t>
  </si>
  <si>
    <t>GM %</t>
  </si>
  <si>
    <t>GST%</t>
  </si>
  <si>
    <t>GST Value</t>
  </si>
  <si>
    <t>Net Value</t>
  </si>
  <si>
    <t xml:space="preserve">Item Type </t>
  </si>
  <si>
    <t>Sales Region</t>
  </si>
  <si>
    <t>Practice</t>
  </si>
  <si>
    <t>OEM</t>
  </si>
  <si>
    <t>Component</t>
  </si>
  <si>
    <t xml:space="preserve">Services </t>
  </si>
  <si>
    <t>PSU/Govt</t>
  </si>
  <si>
    <t xml:space="preserve">Networking </t>
  </si>
  <si>
    <t>SITC/AMC/Product</t>
  </si>
  <si>
    <t>Cloud-Renewal subscription</t>
  </si>
  <si>
    <t>Total</t>
  </si>
  <si>
    <t>ARCHE GLOBAL PRIVATE LIMITED</t>
  </si>
  <si>
    <t>WORKFORCE BUDGET</t>
  </si>
  <si>
    <t>Manpower  Costing</t>
  </si>
  <si>
    <t>PMC Cost</t>
  </si>
  <si>
    <t>Activity</t>
  </si>
  <si>
    <t>Grades</t>
  </si>
  <si>
    <t>D2</t>
  </si>
  <si>
    <t>D1</t>
  </si>
  <si>
    <t>C4</t>
  </si>
  <si>
    <t>C3</t>
  </si>
  <si>
    <t>C2</t>
  </si>
  <si>
    <t>C1</t>
  </si>
  <si>
    <t>B4</t>
  </si>
  <si>
    <t>B3</t>
  </si>
  <si>
    <t>B2</t>
  </si>
  <si>
    <t>B1</t>
  </si>
  <si>
    <t>A3</t>
  </si>
  <si>
    <t>A2</t>
  </si>
  <si>
    <t>Manhour cost per day</t>
  </si>
  <si>
    <t>Manpower cost per hour</t>
  </si>
  <si>
    <t>Implementation cost</t>
  </si>
  <si>
    <t>Man Hours</t>
  </si>
  <si>
    <t>Man Hours /days cost</t>
  </si>
  <si>
    <t>Travel</t>
  </si>
  <si>
    <t>Food</t>
  </si>
  <si>
    <t>Stay</t>
  </si>
  <si>
    <t>Other Cost</t>
  </si>
  <si>
    <t>SUB TOTAL</t>
  </si>
  <si>
    <t>TOTAL</t>
  </si>
  <si>
    <t>Post Implementation 
TSS</t>
  </si>
  <si>
    <t>Preventive Maintenance Hours</t>
  </si>
  <si>
    <t>Onsite Support Hours</t>
  </si>
  <si>
    <t>Remote Support Hours</t>
  </si>
  <si>
    <t>Admin and Logistics Hours</t>
  </si>
  <si>
    <t>Total Hours</t>
  </si>
  <si>
    <t>Manpower cost for the contract</t>
  </si>
  <si>
    <t>Minimum Man Cost</t>
  </si>
  <si>
    <t>Days</t>
  </si>
  <si>
    <t>Order Processing</t>
  </si>
  <si>
    <t>Billing/Collection</t>
  </si>
  <si>
    <t>Vendor Bills/Payments</t>
  </si>
  <si>
    <t>Region</t>
  </si>
  <si>
    <t>Distribution Channel</t>
  </si>
  <si>
    <t xml:space="preserve">LOB </t>
  </si>
  <si>
    <t xml:space="preserve">Each OP will be classified </t>
  </si>
  <si>
    <t>East</t>
  </si>
  <si>
    <t xml:space="preserve">Alliance </t>
  </si>
  <si>
    <t>DC</t>
  </si>
  <si>
    <t>Hardware</t>
  </si>
  <si>
    <t xml:space="preserve">Router, Switch, WIFi, GPON, NAC, Passive, </t>
  </si>
  <si>
    <t>MS-NOC</t>
  </si>
  <si>
    <t>Remote support-Networking</t>
  </si>
  <si>
    <t xml:space="preserve">North </t>
  </si>
  <si>
    <t xml:space="preserve">Enterprise </t>
  </si>
  <si>
    <t>DT</t>
  </si>
  <si>
    <t>Cybersecurity</t>
  </si>
  <si>
    <t>Firewall, WAF, EDR</t>
  </si>
  <si>
    <t>MS-SOC</t>
  </si>
  <si>
    <t>Remote support-Security</t>
  </si>
  <si>
    <t xml:space="preserve">South </t>
  </si>
  <si>
    <t xml:space="preserve">Public Sector </t>
  </si>
  <si>
    <t>E2C</t>
  </si>
  <si>
    <t>Software</t>
  </si>
  <si>
    <t>Cloud</t>
  </si>
  <si>
    <t>Server , Storage, Backup, Public Cloud, Subscription(AWS/Asure/O365)</t>
  </si>
  <si>
    <t>MS - AMC</t>
  </si>
  <si>
    <t xml:space="preserve">West </t>
  </si>
  <si>
    <t xml:space="preserve">Strategic Projects </t>
  </si>
  <si>
    <t>ET</t>
  </si>
  <si>
    <t xml:space="preserve">Data Centre </t>
  </si>
  <si>
    <t>Civil, Electrical, HVAC,BMS, Passive</t>
  </si>
  <si>
    <t>MS - O&amp;M</t>
  </si>
  <si>
    <t xml:space="preserve">Managed Services </t>
  </si>
  <si>
    <t>O&amp;M, NOC, SOC, AMC, OEM/Netcon Warranty Service</t>
  </si>
  <si>
    <t>MS - Warranty support</t>
  </si>
  <si>
    <t xml:space="preserve">Professional Services </t>
  </si>
  <si>
    <t>Design, Audit, &amp; Advance Implementation</t>
  </si>
  <si>
    <t>Service - Professional Services</t>
  </si>
  <si>
    <t xml:space="preserve">Consulting </t>
  </si>
  <si>
    <t>Advisory Services</t>
  </si>
  <si>
    <t>Service - Consulting</t>
  </si>
  <si>
    <t xml:space="preserve">AI, IOT, Copper, Loop, Special Systems </t>
  </si>
  <si>
    <t>Cloud-New subscription</t>
  </si>
  <si>
    <t>Cloud-Server</t>
  </si>
  <si>
    <t>Arche Global Private Limited</t>
  </si>
  <si>
    <t>Cloud-Storage</t>
  </si>
  <si>
    <t>Cloud-Backup</t>
  </si>
  <si>
    <t>Businees Type</t>
  </si>
  <si>
    <t>Stratergic Business Unit</t>
  </si>
  <si>
    <t>Service -Implementation</t>
  </si>
  <si>
    <t>Net New Business</t>
  </si>
  <si>
    <t>Service - Implementation Outsourced</t>
  </si>
  <si>
    <t>Public Service Unit</t>
  </si>
  <si>
    <t>O&amp;M</t>
  </si>
  <si>
    <t>Networking-Router</t>
  </si>
  <si>
    <t>Consulting</t>
  </si>
  <si>
    <t>Networking-Switch</t>
  </si>
  <si>
    <t>TTL</t>
  </si>
  <si>
    <t>Travel Transport &amp; Logistics</t>
  </si>
  <si>
    <t>Networking-WIFI</t>
  </si>
  <si>
    <t>Access Point</t>
  </si>
  <si>
    <t>GCC</t>
  </si>
  <si>
    <t xml:space="preserve">Global Capability Centres </t>
  </si>
  <si>
    <t>Networking-Passive</t>
  </si>
  <si>
    <t>Delivery</t>
  </si>
  <si>
    <t>Networking-SFP Module</t>
  </si>
  <si>
    <t>Cables,Moduler, Switchboard, Back Box, Patch Cord, Low level items(Nut, Bolt, Spare, Plates, Accessories)</t>
  </si>
  <si>
    <t>Africa</t>
  </si>
  <si>
    <t>Cybersecurity-Firewall</t>
  </si>
  <si>
    <t>Cybersecurity-WAF</t>
  </si>
  <si>
    <t>Cybersecurity-EDR</t>
  </si>
  <si>
    <t>DC-Civil</t>
  </si>
  <si>
    <t>Contruction items.</t>
  </si>
  <si>
    <t>DC-Electrical</t>
  </si>
  <si>
    <t>UPS,Smart rack,battery</t>
  </si>
  <si>
    <t>DC-HVAC</t>
  </si>
  <si>
    <t>A/C, Cooler, Chiller</t>
  </si>
  <si>
    <t>DC-Passive</t>
  </si>
  <si>
    <t>Furniture, Cables, wire, Accessories</t>
  </si>
  <si>
    <t>DPS</t>
  </si>
  <si>
    <t>Digital Professional Service</t>
  </si>
  <si>
    <t>Africa-Direct</t>
  </si>
  <si>
    <t>Apple</t>
  </si>
  <si>
    <t>Rebates</t>
  </si>
  <si>
    <t>New Practice</t>
  </si>
  <si>
    <t>Networking</t>
  </si>
  <si>
    <t>DC / Consulting</t>
  </si>
  <si>
    <t>Collaboration</t>
  </si>
  <si>
    <t>AI &amp; Data</t>
  </si>
  <si>
    <t>Margin Target</t>
  </si>
  <si>
    <t>Margin Deviation  %</t>
  </si>
  <si>
    <t>Margin Deviation Justification (in case of Negative Deviation)</t>
  </si>
  <si>
    <t>FY 26 Margin Targets</t>
  </si>
  <si>
    <t>Partner Business</t>
  </si>
  <si>
    <t>Customer Payment term</t>
  </si>
  <si>
    <t>Vendor Payment Terms</t>
  </si>
  <si>
    <t>HPE Networking Instant On Switch 24p Gigabit CL4 PoE 4p SFP+  370W 1930  (JL684B)</t>
  </si>
  <si>
    <t>HPE Networking  Instant On Switch 24p Gigabit 4p SFP+ 1930 (JL682A)</t>
  </si>
  <si>
    <t>HPE Aruba Networking AP-505 (RW) TAA Dual Radio 2x2 802.11ax Internal Antennas Unified Campus AP with mouting kit</t>
  </si>
  <si>
    <t>10 x GE RJ45 ports (including 7 x Internal Ports, 2 x WAN Ports, 1 x DMZ Port) Unified Threat Protection (UTP) (IPS, Advanced Malware Protection, Application Control, URL, DNS &amp; Video Filtering, Antispam Service, and FortiCare Premium) - 36 Months</t>
  </si>
  <si>
    <t>HPE ProLiant DL360 Gen11  1P  4LFF 500W PS Server | INT Xeon-4509Y CPU for HPE | HPE 500W FS Plat Ht Plg LH Pwr Sply Kit | HPE 4TB SAS 7.2K LFF LP HDD x 3 | HPE NS204i-u Gen11 Ht Plg Boot Opt Dev (480Gb NVMe*2) | HPE 32GB (1x32GB) Dual Rank x8 DDR5-4800 CAS-46-45-45 EC8 Registered Smart Memory Kit | HPE MR408i-o Gen11 SPDM Storage Cntlr |  Win Server 2025 16C std  license</t>
  </si>
  <si>
    <t>S_PRD103451</t>
  </si>
  <si>
    <t>S_PRD103452</t>
  </si>
  <si>
    <t>S_PRD101303</t>
  </si>
  <si>
    <t>S_FG-60F</t>
  </si>
  <si>
    <t>S_PRD103453</t>
  </si>
  <si>
    <t>S_PRD103454</t>
  </si>
  <si>
    <t>S_PRD101310</t>
  </si>
  <si>
    <t>S_PRD103455</t>
  </si>
  <si>
    <t>S_PRD103456</t>
  </si>
  <si>
    <t>S_PRD101312</t>
  </si>
  <si>
    <t xml:space="preserve">Door Acces Control device with Camera, Fingerprint and RF ID </t>
  </si>
  <si>
    <t>HikCentral-P-ACS-device</t>
  </si>
  <si>
    <t xml:space="preserve">Door Magnetic Lock with Exit Button </t>
  </si>
  <si>
    <t>ZL - Clamp for lock fixing</t>
  </si>
  <si>
    <t>0.5 Sq mm 4core Copper Cable for Access Controller Lock &amp; Exit Button</t>
  </si>
  <si>
    <t>S_PRD103457</t>
  </si>
  <si>
    <t>S_PRD101775</t>
  </si>
  <si>
    <t>S_PRD10095</t>
  </si>
  <si>
    <t>S_PRD10124</t>
  </si>
  <si>
    <t>S_PRD103458</t>
  </si>
  <si>
    <t>4MP Outdoor Bullet Camera with 30Mtr IR</t>
  </si>
  <si>
    <t>64 CHNL NVR</t>
  </si>
  <si>
    <t>10TB Enterprise HDD for 30 days recording</t>
  </si>
  <si>
    <t>Camera Back Box</t>
  </si>
  <si>
    <t>Fabricate Wall Mount</t>
  </si>
  <si>
    <t>S_PRD103459</t>
  </si>
  <si>
    <t>S_PRD103460</t>
  </si>
  <si>
    <t>S_PRD103461</t>
  </si>
  <si>
    <t>75 inch 4k LED Dispalys</t>
  </si>
  <si>
    <t>PeopleLink i8 Webcam 120° Fixed Lens - PPU-PVC-WC_x0002_120-I8</t>
  </si>
  <si>
    <t>USB &amp; Bluetoth Speakerphone</t>
  </si>
  <si>
    <t>S_PRD103462</t>
  </si>
  <si>
    <t>S_PRD103463</t>
  </si>
  <si>
    <t>S_PRD103464</t>
  </si>
  <si>
    <t>S_PRD103465</t>
  </si>
  <si>
    <t>S_PRD103466</t>
  </si>
  <si>
    <t>S_PRD101325</t>
  </si>
  <si>
    <t>16 Zone Voice Alarm Controller</t>
  </si>
  <si>
    <t>16 Zone Paging Station with mic</t>
  </si>
  <si>
    <t>500-Watt Single Channel Class D Power Am</t>
  </si>
  <si>
    <t>6-watt Full Range ABS ceiling speaker</t>
  </si>
  <si>
    <t>15-Watt Horn Speaker</t>
  </si>
  <si>
    <t xml:space="preserve">2core 1.5 Sq mm Armored shielded PA Cable </t>
  </si>
  <si>
    <t>S_PRD10105</t>
  </si>
  <si>
    <t>S_PRD10107</t>
  </si>
  <si>
    <t>S_PRD10111</t>
  </si>
  <si>
    <t>S_PRD10113</t>
  </si>
  <si>
    <t>S_PRD10112</t>
  </si>
  <si>
    <t>S_PRD10108</t>
  </si>
  <si>
    <t>S_PRD103467</t>
  </si>
  <si>
    <t>S_PRD10116</t>
  </si>
  <si>
    <t>S_PRD103468</t>
  </si>
  <si>
    <t>S_PRD103504</t>
  </si>
  <si>
    <t>S_PRD103505</t>
  </si>
  <si>
    <t xml:space="preserve">Cat6 UTP Cable 305 meter </t>
  </si>
  <si>
    <t xml:space="preserve">Cat6 IO </t>
  </si>
  <si>
    <t>24 port fully loaded patch panel</t>
  </si>
  <si>
    <t>2M Cat6 UTP Patch Cord</t>
  </si>
  <si>
    <t xml:space="preserve">1M Cat6 UTP Patch Cord </t>
  </si>
  <si>
    <t xml:space="preserve">Single Port face plate </t>
  </si>
  <si>
    <t>Back Box</t>
  </si>
  <si>
    <t xml:space="preserve">RJ45 JACK </t>
  </si>
  <si>
    <t>PVC Pipe with Accessories</t>
  </si>
  <si>
    <t xml:space="preserve">Ferrules </t>
  </si>
  <si>
    <t xml:space="preserve">Cable Tie </t>
  </si>
  <si>
    <t>S_PRD101253</t>
  </si>
  <si>
    <t>S_PRD101255</t>
  </si>
  <si>
    <t>S_PRD10100</t>
  </si>
  <si>
    <t>42U 800Wx1000D Server Rack PDU, FAN and Accessories</t>
  </si>
  <si>
    <t>15U Network Rack with PDU, FAN and Accessories</t>
  </si>
  <si>
    <t>1U Closed Cable Manager</t>
  </si>
  <si>
    <t>S_PRD103471</t>
  </si>
  <si>
    <t>S_PRD103472</t>
  </si>
  <si>
    <t>S_PRD103473</t>
  </si>
  <si>
    <t>S_PRD103474</t>
  </si>
  <si>
    <t>S_PRD103475</t>
  </si>
  <si>
    <t>S_PRD103476</t>
  </si>
  <si>
    <t>2zone conventional Pannel with12v 7AH Battery 1no</t>
  </si>
  <si>
    <t>Photo Electric Smoke detector with Base</t>
  </si>
  <si>
    <t>Conventional Manual Call Point</t>
  </si>
  <si>
    <t>Conventional Hooter cum Flasher</t>
  </si>
  <si>
    <t>2Core 1.5 Sq mm with PVC Conduits</t>
  </si>
  <si>
    <t>Response Indicator</t>
  </si>
  <si>
    <t>S_PRD103477</t>
  </si>
  <si>
    <t>S_PRD103506</t>
  </si>
  <si>
    <t xml:space="preserve">7.5Kva / 192V DC Premius RT 1p-1p Online FM UPS </t>
  </si>
  <si>
    <t xml:space="preserve">28Ah SMF Batteries 16Nos With Powder Coated MS Rack and All Suitable Accessories Included </t>
  </si>
  <si>
    <t>S_PRD103479</t>
  </si>
  <si>
    <t>S_PRD103480</t>
  </si>
  <si>
    <t>S_PRD103507</t>
  </si>
  <si>
    <t>S_PRD103481</t>
  </si>
  <si>
    <t xml:space="preserve">SUPPLY OF 150MM GI PERFORATED Cable Tray with Cover &amp; Accessories       </t>
  </si>
  <si>
    <t xml:space="preserve">SUPPLY OF 50MM GI PERFORATED Cable Tray with Cover &amp; Accessories       </t>
  </si>
  <si>
    <t>Wall Support</t>
  </si>
  <si>
    <t>Cable Tray Support</t>
  </si>
  <si>
    <t>SER102632</t>
  </si>
  <si>
    <t>Labour Charges for CCTV</t>
  </si>
  <si>
    <t>Mohan D</t>
  </si>
  <si>
    <t>L.G.BALAKRISHNAN &amp; BROS LIMITED</t>
  </si>
  <si>
    <t>BAWAL Plant CCTV &amp; Wi-Fi Networking</t>
  </si>
  <si>
    <t>Freight Cost</t>
  </si>
  <si>
    <t>Aruba Instant On 1930 24P PoE</t>
  </si>
  <si>
    <t>Aruba Instant On 1930 24P NoN-PoE</t>
  </si>
  <si>
    <t>Aruba AP505</t>
  </si>
  <si>
    <t xml:space="preserve">Fortinet 60F |FC-10-0060F-950-02-36 </t>
  </si>
  <si>
    <t>HPE EDGE Server</t>
  </si>
  <si>
    <t>Hikivision</t>
  </si>
  <si>
    <t>Reputed ISI</t>
  </si>
  <si>
    <t>Polycab</t>
  </si>
  <si>
    <t>CP Plus</t>
  </si>
  <si>
    <t>WD/Seagate</t>
  </si>
  <si>
    <t>BE75DH Samsung</t>
  </si>
  <si>
    <t>Peoplelink</t>
  </si>
  <si>
    <t>Honeywell</t>
  </si>
  <si>
    <t>Commscope</t>
  </si>
  <si>
    <t>Netrack/Valrack</t>
  </si>
  <si>
    <t>Ravel</t>
  </si>
  <si>
    <t>Numeric</t>
  </si>
  <si>
    <t>Quanta SMF</t>
  </si>
  <si>
    <t>Arche</t>
  </si>
  <si>
    <t>25% PAYMENT ADVANCE ALONG WITH PO, 65% AGAINST DELIVERY WITHIN 7 DAYS FROM THE DATE OF INVOICE,BALANCE 10% ON INSTALLATION AND CONFIGURATION WITHIN 7 DAYS FROM THE DATE OF INVOICE ON IMPLEMENTATION.</t>
  </si>
  <si>
    <t>7300019596/7200475360</t>
  </si>
  <si>
    <t>Nil</t>
  </si>
  <si>
    <t>Implementation</t>
  </si>
  <si>
    <t>2 Months</t>
  </si>
  <si>
    <t>30 Days</t>
  </si>
  <si>
    <t>Server</t>
  </si>
  <si>
    <t>Acess Control</t>
  </si>
  <si>
    <t>CCTV</t>
  </si>
  <si>
    <t>Passive</t>
  </si>
  <si>
    <t>NVR</t>
  </si>
  <si>
    <t>Harddisk</t>
  </si>
  <si>
    <t>Display</t>
  </si>
  <si>
    <t>Web Cam</t>
  </si>
  <si>
    <t>PA System</t>
  </si>
  <si>
    <t>Speaker</t>
  </si>
  <si>
    <t>Rack</t>
  </si>
  <si>
    <t>Battery</t>
  </si>
  <si>
    <t>Smoke Detector</t>
  </si>
  <si>
    <t>UPS</t>
  </si>
  <si>
    <t>Bill of Quantity - BAWAL Plant CCTV &amp; Wi-Fi Networking</t>
  </si>
  <si>
    <t>Make &amp; Model</t>
  </si>
  <si>
    <t>Item description</t>
  </si>
  <si>
    <t>UoM</t>
  </si>
  <si>
    <t>Unit Price (INR)</t>
  </si>
  <si>
    <t>Total Price (INR)</t>
  </si>
  <si>
    <t>Unit Cost</t>
  </si>
  <si>
    <t>Total Cost</t>
  </si>
  <si>
    <t>Remarks</t>
  </si>
  <si>
    <t>Isha</t>
  </si>
  <si>
    <t>T-Global</t>
  </si>
  <si>
    <t>Supreme</t>
  </si>
  <si>
    <t>A</t>
  </si>
  <si>
    <t>Active Access switches &amp; Wifi Access Points</t>
  </si>
  <si>
    <t>Nos</t>
  </si>
  <si>
    <t>No Stock</t>
  </si>
  <si>
    <t>Redington</t>
  </si>
  <si>
    <t>B</t>
  </si>
  <si>
    <t xml:space="preserve">Attendance Device </t>
  </si>
  <si>
    <t>Hikvision</t>
  </si>
  <si>
    <t>Mtrs</t>
  </si>
  <si>
    <t>C</t>
  </si>
  <si>
    <t>D</t>
  </si>
  <si>
    <t>Confernce rooms Devices</t>
  </si>
  <si>
    <t>Samsung</t>
  </si>
  <si>
    <t>E</t>
  </si>
  <si>
    <t>PA speakers</t>
  </si>
  <si>
    <t>PentaSecurity</t>
  </si>
  <si>
    <t>mtrs</t>
  </si>
  <si>
    <t>F</t>
  </si>
  <si>
    <t>Passive copper</t>
  </si>
  <si>
    <t>box</t>
  </si>
  <si>
    <t>(9 buffer</t>
  </si>
  <si>
    <t>Shylanet</t>
  </si>
  <si>
    <t>RJ45 JACK (100 Pieces)</t>
  </si>
  <si>
    <t>Box</t>
  </si>
  <si>
    <t xml:space="preserve">PVC Pipe with Accessories ( Clip, Drill pit, Screws) </t>
  </si>
  <si>
    <t>Pkts</t>
  </si>
  <si>
    <t>G</t>
  </si>
  <si>
    <t>Rack and Accessories</t>
  </si>
  <si>
    <t>H</t>
  </si>
  <si>
    <t>Air Conditioning Machine</t>
  </si>
  <si>
    <t>Vertiv</t>
  </si>
  <si>
    <t xml:space="preserve">3 Ph i/p, Liebert SRC, Air Conditioning Machine, R407C  </t>
  </si>
  <si>
    <t>Service</t>
  </si>
  <si>
    <t xml:space="preserve">10 mtr copper pipe and gas positioning / in door to outdoor electrical cable and installation &amp; Commissiong charges </t>
  </si>
  <si>
    <t>I</t>
  </si>
  <si>
    <t>Fire &amp; Smoke Alarm System</t>
  </si>
  <si>
    <t>Vajra</t>
  </si>
  <si>
    <t>J</t>
  </si>
  <si>
    <t>Rack Mountable UPS with Battery</t>
  </si>
  <si>
    <t>Lot</t>
  </si>
  <si>
    <t>K</t>
  </si>
  <si>
    <t>Cable Tray</t>
  </si>
  <si>
    <t>KG</t>
  </si>
  <si>
    <t>L</t>
  </si>
  <si>
    <t>Services</t>
  </si>
  <si>
    <t>Labour</t>
  </si>
  <si>
    <t>Laying of Cat6 UTP Cable</t>
  </si>
  <si>
    <t>Fixing &amp; Dressing of 42U Rack</t>
  </si>
  <si>
    <t>Fixing &amp; Dressing of 15U Rack</t>
  </si>
  <si>
    <t>Fixing and Termination of 24 port Cat6 Patch Panel</t>
  </si>
  <si>
    <t>CAT6 IO Termination with Faceplate</t>
  </si>
  <si>
    <t>RJ45 Jack Termination for CCTV</t>
  </si>
  <si>
    <t>Laying of PVC Pipe with Accessories</t>
  </si>
  <si>
    <t>Laying of PA Speaker Cable</t>
  </si>
  <si>
    <t>Fixing of PA speakers</t>
  </si>
  <si>
    <t>Laying of Fire Alaram Cables with Pipes</t>
  </si>
  <si>
    <t>Physical Mouting of Conference room Displays</t>
  </si>
  <si>
    <t xml:space="preserve">Cable Tray Laying </t>
  </si>
  <si>
    <t>Physical Installation of wall mount Access controller device</t>
  </si>
  <si>
    <t>CCTV Camera Fixing, Positioning Charges</t>
  </si>
  <si>
    <t>Wi-Fi Access Point Fixing Charges</t>
  </si>
  <si>
    <t>NVR Configuration Charges</t>
  </si>
  <si>
    <t>Fire Alaram System Installation Charges</t>
  </si>
  <si>
    <t>LS</t>
  </si>
  <si>
    <t xml:space="preserve">Installation &amp; Integaration of PA speaker with Controller </t>
  </si>
  <si>
    <t>Ferruling, Labelling, Cable Lan tester Testing, Documentation and One time Project Management Charges</t>
  </si>
  <si>
    <t>Product Cost (Switches, Wi-Fi, FW, CCTV, Passive)</t>
  </si>
  <si>
    <t>GST @ 18%</t>
  </si>
  <si>
    <t>Grand Total</t>
  </si>
  <si>
    <t>Arche Inst</t>
  </si>
  <si>
    <t>PMC</t>
  </si>
  <si>
    <t>Freight</t>
  </si>
  <si>
    <t>GM Value</t>
  </si>
  <si>
    <t>Quoted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</si>
</sst>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%"/>
    <numFmt numFmtId="165" formatCode="_(* #,##0.00_);_(* \(#,##0.00\);_(* &quot;-&quot;??_);_(@_)"/>
    <numFmt numFmtId="166" formatCode="00"/>
    <numFmt numFmtId="167" formatCode="0.000%"/>
    <numFmt numFmtId="168" formatCode="_ * #,##0_ ;_ * \-#,##0_ ;_ * &quot;-&quot;??_ ;_ @_ 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Grandview"/>
      <family val="2"/>
    </font>
    <font>
      <b/>
      <sz val="12"/>
      <color theme="1"/>
      <name val="Grandview"/>
      <family val="2"/>
    </font>
    <font>
      <b/>
      <sz val="11"/>
      <color theme="1"/>
      <name val="Grandview"/>
      <family val="2"/>
    </font>
    <font>
      <b/>
      <sz val="11"/>
      <color theme="0"/>
      <name val="Grandview"/>
      <family val="2"/>
    </font>
    <font>
      <b/>
      <sz val="11"/>
      <color indexed="8"/>
      <name val="Grandview"/>
      <family val="2"/>
    </font>
    <font>
      <b/>
      <sz val="11"/>
      <color rgb="FF000000"/>
      <name val="Grandview"/>
      <family val="2"/>
    </font>
    <font>
      <b/>
      <sz val="14"/>
      <name val="Grandview"/>
      <family val="2"/>
    </font>
    <font>
      <b/>
      <sz val="18"/>
      <color theme="1"/>
      <name val="Grandview"/>
      <family val="2"/>
    </font>
    <font>
      <b/>
      <u/>
      <sz val="14"/>
      <color theme="1"/>
      <name val="Grandview"/>
      <family val="2"/>
    </font>
    <font>
      <b/>
      <sz val="11"/>
      <color theme="0"/>
      <name val="Calibri"/>
      <family val="2"/>
      <scheme val="minor"/>
    </font>
    <font>
      <sz val="12"/>
      <color theme="1"/>
      <name val="Kalinga"/>
      <family val="2"/>
    </font>
    <font>
      <b/>
      <sz val="12"/>
      <color theme="1"/>
      <name val="Kalinga"/>
      <family val="2"/>
    </font>
    <font>
      <b/>
      <sz val="14"/>
      <color theme="0"/>
      <name val="Kalinga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Grandview"/>
      <family val="2"/>
    </font>
    <font>
      <b/>
      <sz val="12"/>
      <color rgb="FF00B050"/>
      <name val="Kalinga"/>
      <family val="2"/>
    </font>
    <font>
      <b/>
      <sz val="12"/>
      <color rgb="FFFF0000"/>
      <name val="Kalinga"/>
      <family val="2"/>
    </font>
    <font>
      <sz val="9"/>
      <color theme="1"/>
      <name val="Kalinga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6795556505021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41"/>
      </patternFill>
    </fill>
    <fill>
      <patternFill patternType="solid">
        <fgColor theme="7" tint="0.79998168889431442"/>
        <bgColor indexed="2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41"/>
      </patternFill>
    </fill>
    <fill>
      <patternFill patternType="solid">
        <fgColor theme="2"/>
        <bgColor indexed="2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1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5" fillId="0" borderId="0"/>
    <xf numFmtId="0" fontId="11" fillId="0" borderId="0"/>
    <xf numFmtId="165" fontId="1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5">
    <xf numFmtId="0" fontId="0" fillId="0" borderId="0" xfId="0"/>
    <xf numFmtId="0" fontId="0" fillId="12" borderId="1" xfId="0" applyFill="1" applyBorder="1"/>
    <xf numFmtId="0" fontId="6" fillId="11" borderId="1" xfId="0" applyFont="1" applyFill="1" applyBorder="1"/>
    <xf numFmtId="0" fontId="0" fillId="11" borderId="1" xfId="0" applyFill="1" applyBorder="1"/>
    <xf numFmtId="0" fontId="6" fillId="10" borderId="1" xfId="0" applyFont="1" applyFill="1" applyBorder="1"/>
    <xf numFmtId="0" fontId="0" fillId="10" borderId="1" xfId="0" applyFill="1" applyBorder="1"/>
    <xf numFmtId="0" fontId="6" fillId="9" borderId="1" xfId="0" applyFont="1" applyFill="1" applyBorder="1"/>
    <xf numFmtId="0" fontId="0" fillId="9" borderId="1" xfId="0" applyFill="1" applyBorder="1"/>
    <xf numFmtId="0" fontId="6" fillId="8" borderId="1" xfId="0" applyFont="1" applyFill="1" applyBorder="1"/>
    <xf numFmtId="0" fontId="0" fillId="8" borderId="1" xfId="0" applyFill="1" applyBorder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43" fontId="12" fillId="0" borderId="0" xfId="1" applyFont="1" applyFill="1" applyAlignment="1">
      <alignment vertical="center"/>
    </xf>
    <xf numFmtId="0" fontId="12" fillId="0" borderId="0" xfId="0" applyFont="1" applyAlignment="1">
      <alignment vertical="center"/>
    </xf>
    <xf numFmtId="4" fontId="12" fillId="0" borderId="0" xfId="0" applyNumberFormat="1" applyFont="1" applyAlignment="1">
      <alignment vertical="center"/>
    </xf>
    <xf numFmtId="43" fontId="14" fillId="0" borderId="0" xfId="1" applyFont="1" applyBorder="1" applyAlignment="1">
      <alignment vertical="center"/>
    </xf>
    <xf numFmtId="43" fontId="14" fillId="0" borderId="0" xfId="1" applyFont="1" applyFill="1" applyBorder="1" applyAlignment="1">
      <alignment vertical="center"/>
    </xf>
    <xf numFmtId="167" fontId="14" fillId="0" borderId="0" xfId="2" applyNumberFormat="1" applyFont="1" applyBorder="1" applyAlignment="1">
      <alignment vertical="center"/>
    </xf>
    <xf numFmtId="43" fontId="12" fillId="0" borderId="0" xfId="0" applyNumberFormat="1" applyFont="1" applyAlignment="1">
      <alignment horizontal="center" vertical="center"/>
    </xf>
    <xf numFmtId="164" fontId="14" fillId="0" borderId="0" xfId="2" applyNumberFormat="1" applyFont="1" applyBorder="1" applyAlignment="1">
      <alignment vertical="center"/>
    </xf>
    <xf numFmtId="43" fontId="12" fillId="0" borderId="0" xfId="0" applyNumberFormat="1" applyFont="1" applyAlignment="1">
      <alignment vertical="center"/>
    </xf>
    <xf numFmtId="9" fontId="12" fillId="0" borderId="0" xfId="2" applyFont="1" applyFill="1" applyBorder="1" applyAlignment="1">
      <alignment vertical="center"/>
    </xf>
    <xf numFmtId="9" fontId="12" fillId="0" borderId="0" xfId="2" applyFont="1" applyAlignment="1">
      <alignment vertical="center"/>
    </xf>
    <xf numFmtId="0" fontId="12" fillId="0" borderId="0" xfId="0" applyFont="1"/>
    <xf numFmtId="0" fontId="17" fillId="2" borderId="1" xfId="0" applyFont="1" applyFill="1" applyBorder="1" applyAlignment="1">
      <alignment horizontal="center" vertical="center"/>
    </xf>
    <xf numFmtId="0" fontId="16" fillId="3" borderId="1" xfId="5" applyFont="1" applyFill="1" applyBorder="1" applyAlignment="1">
      <alignment horizontal="center"/>
    </xf>
    <xf numFmtId="0" fontId="16" fillId="3" borderId="5" xfId="5" applyFont="1" applyFill="1" applyBorder="1" applyAlignment="1">
      <alignment horizontal="center"/>
    </xf>
    <xf numFmtId="1" fontId="17" fillId="2" borderId="1" xfId="0" applyNumberFormat="1" applyFont="1" applyFill="1" applyBorder="1" applyAlignment="1">
      <alignment horizontal="center" vertical="center"/>
    </xf>
    <xf numFmtId="0" fontId="16" fillId="5" borderId="2" xfId="5" applyFont="1" applyFill="1" applyBorder="1" applyAlignment="1">
      <alignment horizontal="left"/>
    </xf>
    <xf numFmtId="0" fontId="16" fillId="5" borderId="1" xfId="5" applyFont="1" applyFill="1" applyBorder="1" applyAlignment="1">
      <alignment horizontal="center"/>
    </xf>
    <xf numFmtId="0" fontId="14" fillId="10" borderId="2" xfId="0" applyFont="1" applyFill="1" applyBorder="1" applyAlignment="1">
      <alignment wrapText="1"/>
    </xf>
    <xf numFmtId="0" fontId="14" fillId="0" borderId="1" xfId="0" applyFont="1" applyBorder="1" applyAlignment="1">
      <alignment horizontal="center"/>
    </xf>
    <xf numFmtId="43" fontId="14" fillId="6" borderId="1" xfId="1" applyFont="1" applyFill="1" applyBorder="1" applyAlignment="1">
      <alignment horizontal="center"/>
    </xf>
    <xf numFmtId="43" fontId="16" fillId="7" borderId="4" xfId="1" applyFont="1" applyFill="1" applyBorder="1" applyAlignment="1" applyProtection="1">
      <alignment horizontal="center"/>
    </xf>
    <xf numFmtId="43" fontId="14" fillId="0" borderId="1" xfId="1" applyFont="1" applyBorder="1" applyAlignment="1">
      <alignment horizontal="center"/>
    </xf>
    <xf numFmtId="43" fontId="14" fillId="4" borderId="2" xfId="1" applyFont="1" applyFill="1" applyBorder="1" applyAlignment="1"/>
    <xf numFmtId="43" fontId="14" fillId="4" borderId="3" xfId="1" applyFont="1" applyFill="1" applyBorder="1" applyAlignment="1"/>
    <xf numFmtId="43" fontId="17" fillId="2" borderId="1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43" fontId="12" fillId="0" borderId="0" xfId="1" applyFont="1"/>
    <xf numFmtId="0" fontId="14" fillId="0" borderId="0" xfId="0" applyFont="1"/>
    <xf numFmtId="0" fontId="14" fillId="0" borderId="0" xfId="0" applyFont="1" applyAlignment="1">
      <alignment wrapText="1"/>
    </xf>
    <xf numFmtId="0" fontId="16" fillId="3" borderId="13" xfId="5" applyFont="1" applyFill="1" applyBorder="1" applyAlignment="1">
      <alignment horizontal="center"/>
    </xf>
    <xf numFmtId="1" fontId="17" fillId="2" borderId="13" xfId="0" applyNumberFormat="1" applyFont="1" applyFill="1" applyBorder="1" applyAlignment="1">
      <alignment horizontal="center" vertical="center"/>
    </xf>
    <xf numFmtId="0" fontId="12" fillId="4" borderId="11" xfId="0" applyFont="1" applyFill="1" applyBorder="1"/>
    <xf numFmtId="0" fontId="16" fillId="5" borderId="13" xfId="5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43" fontId="16" fillId="7" borderId="14" xfId="1" applyFont="1" applyFill="1" applyBorder="1" applyAlignment="1" applyProtection="1">
      <alignment horizontal="center"/>
    </xf>
    <xf numFmtId="43" fontId="14" fillId="0" borderId="13" xfId="1" applyFont="1" applyBorder="1" applyAlignment="1">
      <alignment horizontal="center"/>
    </xf>
    <xf numFmtId="43" fontId="14" fillId="4" borderId="12" xfId="1" applyFont="1" applyFill="1" applyBorder="1" applyAlignment="1"/>
    <xf numFmtId="43" fontId="17" fillId="2" borderId="13" xfId="0" applyNumberFormat="1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43" fontId="14" fillId="4" borderId="18" xfId="1" applyFont="1" applyFill="1" applyBorder="1" applyAlignment="1"/>
    <xf numFmtId="43" fontId="14" fillId="4" borderId="17" xfId="1" applyFont="1" applyFill="1" applyBorder="1" applyAlignment="1"/>
    <xf numFmtId="43" fontId="14" fillId="4" borderId="19" xfId="1" applyFont="1" applyFill="1" applyBorder="1" applyAlignment="1"/>
    <xf numFmtId="0" fontId="12" fillId="0" borderId="1" xfId="0" applyFont="1" applyBorder="1" applyAlignment="1">
      <alignment horizontal="left" vertical="center"/>
    </xf>
    <xf numFmtId="43" fontId="12" fillId="0" borderId="1" xfId="0" applyNumberFormat="1" applyFont="1" applyBorder="1" applyAlignment="1">
      <alignment horizontal="left" vertical="center"/>
    </xf>
    <xf numFmtId="0" fontId="14" fillId="10" borderId="0" xfId="0" applyFont="1" applyFill="1"/>
    <xf numFmtId="0" fontId="12" fillId="0" borderId="0" xfId="0" applyFont="1" applyAlignment="1">
      <alignment horizontal="left" wrapText="1"/>
    </xf>
    <xf numFmtId="0" fontId="14" fillId="0" borderId="0" xfId="0" applyFont="1" applyAlignment="1">
      <alignment horizontal="left"/>
    </xf>
    <xf numFmtId="0" fontId="6" fillId="12" borderId="1" xfId="0" applyFont="1" applyFill="1" applyBorder="1"/>
    <xf numFmtId="0" fontId="0" fillId="14" borderId="1" xfId="0" applyFill="1" applyBorder="1"/>
    <xf numFmtId="0" fontId="0" fillId="16" borderId="1" xfId="0" applyFill="1" applyBorder="1"/>
    <xf numFmtId="0" fontId="18" fillId="0" borderId="0" xfId="0" applyFont="1" applyAlignment="1">
      <alignment horizontal="center" vertical="center"/>
    </xf>
    <xf numFmtId="0" fontId="16" fillId="18" borderId="2" xfId="5" applyFont="1" applyFill="1" applyBorder="1" applyAlignment="1">
      <alignment horizontal="left"/>
    </xf>
    <xf numFmtId="0" fontId="16" fillId="19" borderId="4" xfId="5" applyFont="1" applyFill="1" applyBorder="1" applyAlignment="1">
      <alignment horizontal="center"/>
    </xf>
    <xf numFmtId="0" fontId="16" fillId="19" borderId="5" xfId="5" applyFont="1" applyFill="1" applyBorder="1" applyAlignment="1">
      <alignment horizontal="center"/>
    </xf>
    <xf numFmtId="0" fontId="16" fillId="19" borderId="1" xfId="5" applyFont="1" applyFill="1" applyBorder="1" applyAlignment="1">
      <alignment horizontal="center"/>
    </xf>
    <xf numFmtId="0" fontId="16" fillId="19" borderId="13" xfId="5" applyFont="1" applyFill="1" applyBorder="1" applyAlignment="1">
      <alignment horizontal="center"/>
    </xf>
    <xf numFmtId="0" fontId="14" fillId="10" borderId="2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wrapText="1"/>
    </xf>
    <xf numFmtId="0" fontId="19" fillId="0" borderId="0" xfId="0" applyFont="1"/>
    <xf numFmtId="0" fontId="20" fillId="0" borderId="0" xfId="0" applyFont="1"/>
    <xf numFmtId="0" fontId="6" fillId="0" borderId="0" xfId="0" applyFont="1"/>
    <xf numFmtId="0" fontId="0" fillId="0" borderId="1" xfId="0" applyBorder="1"/>
    <xf numFmtId="0" fontId="21" fillId="17" borderId="1" xfId="0" applyFont="1" applyFill="1" applyBorder="1"/>
    <xf numFmtId="0" fontId="2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0" fontId="14" fillId="0" borderId="0" xfId="2" applyNumberFormat="1" applyFont="1" applyFill="1" applyBorder="1" applyAlignment="1">
      <alignment vertical="center"/>
    </xf>
    <xf numFmtId="0" fontId="23" fillId="21" borderId="1" xfId="0" applyFont="1" applyFill="1" applyBorder="1" applyAlignment="1">
      <alignment horizontal="left" vertical="center"/>
    </xf>
    <xf numFmtId="10" fontId="23" fillId="21" borderId="1" xfId="2" applyNumberFormat="1" applyFont="1" applyFill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168" fontId="22" fillId="0" borderId="1" xfId="1" applyNumberFormat="1" applyFont="1" applyFill="1" applyBorder="1" applyAlignment="1">
      <alignment vertical="center"/>
    </xf>
    <xf numFmtId="168" fontId="23" fillId="0" borderId="1" xfId="1" applyNumberFormat="1" applyFont="1" applyFill="1" applyBorder="1" applyAlignment="1">
      <alignment vertical="center"/>
    </xf>
    <xf numFmtId="0" fontId="22" fillId="6" borderId="2" xfId="0" applyFont="1" applyFill="1" applyBorder="1" applyAlignment="1">
      <alignment horizontal="left" vertical="center"/>
    </xf>
    <xf numFmtId="0" fontId="22" fillId="6" borderId="3" xfId="0" applyFont="1" applyFill="1" applyBorder="1" applyAlignment="1">
      <alignment horizontal="left" vertical="center"/>
    </xf>
    <xf numFmtId="0" fontId="22" fillId="6" borderId="5" xfId="0" applyFont="1" applyFill="1" applyBorder="1" applyAlignment="1">
      <alignment horizontal="left" vertical="center"/>
    </xf>
    <xf numFmtId="0" fontId="25" fillId="15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 wrapText="1"/>
    </xf>
    <xf numFmtId="43" fontId="25" fillId="15" borderId="1" xfId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26" fillId="0" borderId="7" xfId="7" applyFont="1" applyBorder="1" applyAlignment="1">
      <alignment vertical="top" wrapText="1"/>
    </xf>
    <xf numFmtId="166" fontId="27" fillId="0" borderId="7" xfId="7" applyNumberFormat="1" applyFont="1" applyBorder="1" applyAlignment="1">
      <alignment horizontal="center" vertical="center" shrinkToFit="1"/>
    </xf>
    <xf numFmtId="43" fontId="11" fillId="6" borderId="1" xfId="1" applyFont="1" applyFill="1" applyBorder="1" applyAlignment="1">
      <alignment horizontal="center" vertical="center" wrapText="1"/>
    </xf>
    <xf numFmtId="168" fontId="11" fillId="6" borderId="1" xfId="0" applyNumberFormat="1" applyFont="1" applyFill="1" applyBorder="1" applyAlignment="1">
      <alignment horizontal="center" vertical="center" wrapText="1"/>
    </xf>
    <xf numFmtId="43" fontId="27" fillId="0" borderId="1" xfId="1" applyFont="1" applyBorder="1" applyAlignment="1">
      <alignment horizontal="center" vertical="center"/>
    </xf>
    <xf numFmtId="168" fontId="11" fillId="6" borderId="1" xfId="1" applyNumberFormat="1" applyFont="1" applyFill="1" applyBorder="1" applyAlignment="1">
      <alignment horizontal="center" vertical="center" wrapText="1"/>
    </xf>
    <xf numFmtId="10" fontId="11" fillId="6" borderId="1" xfId="2" applyNumberFormat="1" applyFont="1" applyFill="1" applyBorder="1" applyAlignment="1">
      <alignment horizontal="center" vertical="center" wrapText="1"/>
    </xf>
    <xf numFmtId="9" fontId="11" fillId="6" borderId="1" xfId="0" applyNumberFormat="1" applyFont="1" applyFill="1" applyBorder="1" applyAlignment="1">
      <alignment horizontal="center" vertical="center" wrapText="1"/>
    </xf>
    <xf numFmtId="168" fontId="11" fillId="6" borderId="1" xfId="0" applyNumberFormat="1" applyFont="1" applyFill="1" applyBorder="1" applyAlignment="1">
      <alignment horizontal="right" vertical="center" wrapText="1"/>
    </xf>
    <xf numFmtId="168" fontId="25" fillId="6" borderId="1" xfId="0" applyNumberFormat="1" applyFont="1" applyFill="1" applyBorder="1" applyAlignment="1">
      <alignment horizontal="right" vertical="center" wrapText="1"/>
    </xf>
    <xf numFmtId="43" fontId="11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13" borderId="1" xfId="0" applyFont="1" applyFill="1" applyBorder="1" applyAlignment="1">
      <alignment vertical="center"/>
    </xf>
    <xf numFmtId="0" fontId="25" fillId="13" borderId="2" xfId="0" applyFont="1" applyFill="1" applyBorder="1" applyAlignment="1">
      <alignment horizontal="center" vertical="center"/>
    </xf>
    <xf numFmtId="0" fontId="25" fillId="13" borderId="3" xfId="0" applyFont="1" applyFill="1" applyBorder="1" applyAlignment="1">
      <alignment horizontal="left" vertical="center"/>
    </xf>
    <xf numFmtId="0" fontId="25" fillId="13" borderId="3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168" fontId="25" fillId="13" borderId="1" xfId="1" applyNumberFormat="1" applyFont="1" applyFill="1" applyBorder="1" applyAlignment="1">
      <alignment vertical="center"/>
    </xf>
    <xf numFmtId="168" fontId="25" fillId="13" borderId="1" xfId="0" applyNumberFormat="1" applyFont="1" applyFill="1" applyBorder="1" applyAlignment="1">
      <alignment horizontal="center" vertical="center"/>
    </xf>
    <xf numFmtId="10" fontId="25" fillId="13" borderId="1" xfId="2" applyNumberFormat="1" applyFont="1" applyFill="1" applyBorder="1" applyAlignment="1">
      <alignment horizontal="center" vertical="center" wrapText="1"/>
    </xf>
    <xf numFmtId="43" fontId="11" fillId="13" borderId="1" xfId="0" applyNumberFormat="1" applyFont="1" applyFill="1" applyBorder="1" applyAlignment="1">
      <alignment vertical="center"/>
    </xf>
    <xf numFmtId="168" fontId="25" fillId="13" borderId="1" xfId="0" applyNumberFormat="1" applyFont="1" applyFill="1" applyBorder="1" applyAlignment="1">
      <alignment horizontal="right" vertical="center"/>
    </xf>
    <xf numFmtId="43" fontId="25" fillId="13" borderId="1" xfId="1" applyFont="1" applyFill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5" fillId="20" borderId="2" xfId="0" applyFont="1" applyFill="1" applyBorder="1" applyAlignment="1">
      <alignment wrapText="1"/>
    </xf>
    <xf numFmtId="0" fontId="15" fillId="20" borderId="2" xfId="0" applyFont="1" applyFill="1" applyBorder="1" applyAlignment="1">
      <alignment horizontal="center" wrapText="1"/>
    </xf>
    <xf numFmtId="43" fontId="12" fillId="0" borderId="0" xfId="1" applyFont="1" applyAlignment="1">
      <alignment vertical="center"/>
    </xf>
    <xf numFmtId="0" fontId="3" fillId="8" borderId="1" xfId="0" applyFont="1" applyFill="1" applyBorder="1"/>
    <xf numFmtId="0" fontId="3" fillId="11" borderId="1" xfId="0" applyFont="1" applyFill="1" applyBorder="1"/>
    <xf numFmtId="0" fontId="3" fillId="9" borderId="1" xfId="0" applyFont="1" applyFill="1" applyBorder="1"/>
    <xf numFmtId="0" fontId="3" fillId="0" borderId="0" xfId="0" applyFont="1"/>
    <xf numFmtId="0" fontId="3" fillId="12" borderId="1" xfId="0" applyFont="1" applyFill="1" applyBorder="1"/>
    <xf numFmtId="0" fontId="3" fillId="0" borderId="1" xfId="0" applyFont="1" applyBorder="1"/>
    <xf numFmtId="0" fontId="3" fillId="15" borderId="1" xfId="0" applyFont="1" applyFill="1" applyBorder="1"/>
    <xf numFmtId="0" fontId="3" fillId="16" borderId="1" xfId="0" applyFont="1" applyFill="1" applyBorder="1"/>
    <xf numFmtId="0" fontId="2" fillId="0" borderId="0" xfId="0" applyFont="1"/>
    <xf numFmtId="0" fontId="2" fillId="0" borderId="1" xfId="0" applyFont="1" applyBorder="1"/>
    <xf numFmtId="0" fontId="6" fillId="25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left" vertical="center"/>
    </xf>
    <xf numFmtId="10" fontId="23" fillId="6" borderId="1" xfId="2" applyNumberFormat="1" applyFont="1" applyFill="1" applyBorder="1" applyAlignment="1">
      <alignment vertical="center"/>
    </xf>
    <xf numFmtId="10" fontId="30" fillId="21" borderId="1" xfId="2" applyNumberFormat="1" applyFont="1" applyFill="1" applyBorder="1" applyAlignment="1">
      <alignment vertical="center"/>
    </xf>
    <xf numFmtId="0" fontId="23" fillId="21" borderId="1" xfId="0" applyFont="1" applyFill="1" applyBorder="1" applyAlignment="1">
      <alignment horizontal="left" vertical="center" wrapText="1"/>
    </xf>
    <xf numFmtId="0" fontId="31" fillId="21" borderId="1" xfId="2" applyNumberFormat="1" applyFont="1" applyFill="1" applyBorder="1" applyAlignment="1">
      <alignment vertical="center"/>
    </xf>
    <xf numFmtId="0" fontId="6" fillId="25" borderId="1" xfId="0" applyFont="1" applyFill="1" applyBorder="1" applyAlignment="1">
      <alignment horizontal="center" vertical="center"/>
    </xf>
    <xf numFmtId="0" fontId="26" fillId="0" borderId="7" xfId="7" applyFont="1" applyBorder="1" applyAlignment="1">
      <alignment vertical="top"/>
    </xf>
    <xf numFmtId="43" fontId="11" fillId="6" borderId="1" xfId="1" applyFont="1" applyFill="1" applyBorder="1" applyAlignment="1">
      <alignment horizontal="center" vertical="center"/>
    </xf>
    <xf numFmtId="168" fontId="11" fillId="6" borderId="1" xfId="0" applyNumberFormat="1" applyFont="1" applyFill="1" applyBorder="1" applyAlignment="1">
      <alignment horizontal="center" vertical="center"/>
    </xf>
    <xf numFmtId="168" fontId="11" fillId="6" borderId="1" xfId="1" applyNumberFormat="1" applyFont="1" applyFill="1" applyBorder="1" applyAlignment="1">
      <alignment horizontal="center" vertical="center"/>
    </xf>
    <xf numFmtId="10" fontId="11" fillId="6" borderId="1" xfId="2" applyNumberFormat="1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 vertical="center"/>
    </xf>
    <xf numFmtId="168" fontId="11" fillId="6" borderId="1" xfId="0" applyNumberFormat="1" applyFont="1" applyFill="1" applyBorder="1" applyAlignment="1">
      <alignment horizontal="right" vertical="center"/>
    </xf>
    <xf numFmtId="168" fontId="25" fillId="6" borderId="1" xfId="0" applyNumberFormat="1" applyFont="1" applyFill="1" applyBorder="1" applyAlignment="1">
      <alignment horizontal="right" vertical="center"/>
    </xf>
    <xf numFmtId="0" fontId="22" fillId="6" borderId="1" xfId="0" applyFont="1" applyFill="1" applyBorder="1" applyAlignment="1">
      <alignment horizontal="left" vertical="center"/>
    </xf>
    <xf numFmtId="0" fontId="28" fillId="12" borderId="2" xfId="0" applyFont="1" applyFill="1" applyBorder="1" applyAlignment="1">
      <alignment horizontal="left" vertical="center"/>
    </xf>
    <xf numFmtId="0" fontId="28" fillId="12" borderId="3" xfId="0" applyFont="1" applyFill="1" applyBorder="1" applyAlignment="1">
      <alignment horizontal="left" vertical="center"/>
    </xf>
    <xf numFmtId="0" fontId="28" fillId="12" borderId="5" xfId="0" applyFont="1" applyFill="1" applyBorder="1" applyAlignment="1">
      <alignment horizontal="left" vertical="center"/>
    </xf>
    <xf numFmtId="0" fontId="24" fillId="20" borderId="2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/>
    </xf>
    <xf numFmtId="0" fontId="29" fillId="24" borderId="8" xfId="5" applyFont="1" applyFill="1" applyBorder="1" applyAlignment="1">
      <alignment horizontal="center"/>
    </xf>
    <xf numFmtId="0" fontId="29" fillId="24" borderId="9" xfId="5" applyFont="1" applyFill="1" applyBorder="1" applyAlignment="1">
      <alignment horizontal="center"/>
    </xf>
    <xf numFmtId="0" fontId="29" fillId="24" borderId="10" xfId="5" applyFont="1" applyFill="1" applyBorder="1" applyAlignment="1">
      <alignment horizontal="center"/>
    </xf>
    <xf numFmtId="0" fontId="16" fillId="19" borderId="2" xfId="5" applyFont="1" applyFill="1" applyBorder="1" applyAlignment="1">
      <alignment horizontal="center"/>
    </xf>
    <xf numFmtId="0" fontId="16" fillId="19" borderId="3" xfId="5" applyFont="1" applyFill="1" applyBorder="1" applyAlignment="1">
      <alignment horizontal="center"/>
    </xf>
    <xf numFmtId="0" fontId="16" fillId="19" borderId="12" xfId="5" applyFont="1" applyFill="1" applyBorder="1" applyAlignment="1">
      <alignment horizontal="center"/>
    </xf>
    <xf numFmtId="0" fontId="15" fillId="23" borderId="15" xfId="5" applyFont="1" applyFill="1" applyBorder="1" applyAlignment="1">
      <alignment horizontal="center"/>
    </xf>
    <xf numFmtId="0" fontId="15" fillId="23" borderId="5" xfId="5" applyFont="1" applyFill="1" applyBorder="1" applyAlignment="1">
      <alignment horizontal="center"/>
    </xf>
    <xf numFmtId="0" fontId="15" fillId="23" borderId="3" xfId="5" applyFont="1" applyFill="1" applyBorder="1" applyAlignment="1">
      <alignment horizontal="center"/>
    </xf>
    <xf numFmtId="0" fontId="15" fillId="23" borderId="16" xfId="5" applyFont="1" applyFill="1" applyBorder="1" applyAlignment="1">
      <alignment horizontal="center"/>
    </xf>
    <xf numFmtId="0" fontId="15" fillId="23" borderId="17" xfId="5" applyFont="1" applyFill="1" applyBorder="1" applyAlignment="1">
      <alignment horizontal="center"/>
    </xf>
    <xf numFmtId="0" fontId="13" fillId="22" borderId="11" xfId="0" applyFont="1" applyFill="1" applyBorder="1" applyAlignment="1">
      <alignment horizontal="center" vertical="center"/>
    </xf>
    <xf numFmtId="0" fontId="13" fillId="22" borderId="11" xfId="0" applyFont="1" applyFill="1" applyBorder="1" applyAlignment="1">
      <alignment horizontal="center" vertical="center" wrapText="1"/>
    </xf>
    <xf numFmtId="0" fontId="16" fillId="18" borderId="1" xfId="5" applyFont="1" applyFill="1" applyBorder="1" applyAlignment="1">
      <alignment horizontal="center"/>
    </xf>
    <xf numFmtId="0" fontId="16" fillId="18" borderId="2" xfId="5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43" fontId="23" fillId="6" borderId="1" xfId="2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33" fillId="26" borderId="1" xfId="17" applyFont="1" applyFill="1" applyBorder="1" applyAlignment="1">
      <alignment horizontal="center" vertical="center"/>
    </xf>
    <xf numFmtId="0" fontId="34" fillId="0" borderId="0" xfId="17" applyFont="1"/>
    <xf numFmtId="0" fontId="34" fillId="0" borderId="0" xfId="17" applyFont="1" applyAlignment="1">
      <alignment vertical="center"/>
    </xf>
    <xf numFmtId="168" fontId="34" fillId="0" borderId="0" xfId="17" applyNumberFormat="1" applyFont="1" applyAlignment="1">
      <alignment vertical="center"/>
    </xf>
    <xf numFmtId="0" fontId="33" fillId="26" borderId="1" xfId="17" applyFont="1" applyFill="1" applyBorder="1" applyAlignment="1">
      <alignment horizontal="center" vertical="center"/>
    </xf>
    <xf numFmtId="0" fontId="33" fillId="26" borderId="1" xfId="17" applyFont="1" applyFill="1" applyBorder="1" applyAlignment="1">
      <alignment horizontal="left" vertical="center"/>
    </xf>
    <xf numFmtId="0" fontId="33" fillId="26" borderId="1" xfId="17" applyFont="1" applyFill="1" applyBorder="1" applyAlignment="1">
      <alignment horizontal="center" vertical="center" wrapText="1"/>
    </xf>
    <xf numFmtId="9" fontId="34" fillId="0" borderId="0" xfId="17" applyNumberFormat="1" applyFont="1" applyAlignment="1">
      <alignment vertical="center"/>
    </xf>
    <xf numFmtId="0" fontId="34" fillId="0" borderId="1" xfId="17" applyFont="1" applyBorder="1" applyAlignment="1">
      <alignment horizontal="center" vertical="center"/>
    </xf>
    <xf numFmtId="0" fontId="34" fillId="0" borderId="1" xfId="17" applyFont="1" applyBorder="1" applyAlignment="1">
      <alignment horizontal="left" vertical="center" wrapText="1"/>
    </xf>
    <xf numFmtId="168" fontId="34" fillId="27" borderId="1" xfId="17" applyNumberFormat="1" applyFont="1" applyFill="1" applyBorder="1" applyAlignment="1">
      <alignment horizontal="center" vertical="center"/>
    </xf>
    <xf numFmtId="168" fontId="34" fillId="0" borderId="1" xfId="17" applyNumberFormat="1" applyFont="1" applyBorder="1" applyAlignment="1">
      <alignment horizontal="center" vertical="center"/>
    </xf>
    <xf numFmtId="0" fontId="34" fillId="0" borderId="1" xfId="17" applyFont="1" applyBorder="1" applyAlignment="1">
      <alignment vertical="center"/>
    </xf>
    <xf numFmtId="168" fontId="34" fillId="0" borderId="1" xfId="18" applyNumberFormat="1" applyFont="1" applyBorder="1" applyAlignment="1">
      <alignment horizontal="center" vertical="center"/>
    </xf>
    <xf numFmtId="9" fontId="34" fillId="0" borderId="1" xfId="17" applyNumberFormat="1" applyFont="1" applyBorder="1" applyAlignment="1">
      <alignment vertical="center"/>
    </xf>
    <xf numFmtId="168" fontId="34" fillId="0" borderId="1" xfId="17" applyNumberFormat="1" applyFont="1" applyBorder="1" applyAlignment="1">
      <alignment vertical="center"/>
    </xf>
    <xf numFmtId="0" fontId="35" fillId="0" borderId="1" xfId="17" applyFont="1" applyBorder="1" applyAlignment="1">
      <alignment vertical="center" wrapText="1"/>
    </xf>
    <xf numFmtId="0" fontId="36" fillId="26" borderId="1" xfId="17" applyFont="1" applyFill="1" applyBorder="1" applyAlignment="1">
      <alignment horizontal="center" vertical="center" wrapText="1"/>
    </xf>
    <xf numFmtId="0" fontId="34" fillId="0" borderId="1" xfId="17" applyFont="1" applyBorder="1"/>
    <xf numFmtId="0" fontId="34" fillId="0" borderId="1" xfId="17" applyFont="1" applyBorder="1" applyAlignment="1">
      <alignment horizontal="left" vertical="center"/>
    </xf>
    <xf numFmtId="168" fontId="37" fillId="0" borderId="1" xfId="17" applyNumberFormat="1" applyFont="1" applyBorder="1" applyAlignment="1">
      <alignment horizontal="center" vertical="center"/>
    </xf>
    <xf numFmtId="0" fontId="34" fillId="0" borderId="1" xfId="17" applyFont="1" applyBorder="1" applyAlignment="1">
      <alignment vertical="center" wrapText="1"/>
    </xf>
    <xf numFmtId="0" fontId="34" fillId="26" borderId="1" xfId="17" applyFont="1" applyFill="1" applyBorder="1" applyAlignment="1">
      <alignment horizontal="left" vertical="center"/>
    </xf>
    <xf numFmtId="0" fontId="34" fillId="26" borderId="1" xfId="17" applyFont="1" applyFill="1" applyBorder="1" applyAlignment="1">
      <alignment horizontal="center" vertical="center"/>
    </xf>
    <xf numFmtId="0" fontId="38" fillId="0" borderId="1" xfId="17" applyFont="1" applyBorder="1" applyAlignment="1">
      <alignment vertical="center"/>
    </xf>
    <xf numFmtId="0" fontId="38" fillId="0" borderId="1" xfId="17" applyFont="1" applyBorder="1" applyAlignment="1">
      <alignment horizontal="left" vertical="center" wrapText="1"/>
    </xf>
    <xf numFmtId="168" fontId="34" fillId="27" borderId="1" xfId="17" applyNumberFormat="1" applyFont="1" applyFill="1" applyBorder="1" applyAlignment="1">
      <alignment horizontal="left" vertical="center"/>
    </xf>
    <xf numFmtId="168" fontId="34" fillId="0" borderId="1" xfId="17" applyNumberFormat="1" applyFont="1" applyBorder="1" applyAlignment="1">
      <alignment horizontal="left" vertical="center"/>
    </xf>
    <xf numFmtId="0" fontId="38" fillId="0" borderId="1" xfId="17" applyFont="1" applyBorder="1" applyAlignment="1">
      <alignment horizontal="center" vertical="center"/>
    </xf>
    <xf numFmtId="0" fontId="33" fillId="27" borderId="1" xfId="17" applyFont="1" applyFill="1" applyBorder="1" applyAlignment="1">
      <alignment horizontal="center" vertical="center"/>
    </xf>
    <xf numFmtId="168" fontId="33" fillId="27" borderId="1" xfId="17" applyNumberFormat="1" applyFont="1" applyFill="1" applyBorder="1" applyAlignment="1">
      <alignment vertical="center"/>
    </xf>
    <xf numFmtId="0" fontId="34" fillId="27" borderId="1" xfId="17" applyFont="1" applyFill="1" applyBorder="1" applyAlignment="1">
      <alignment wrapText="1"/>
    </xf>
    <xf numFmtId="168" fontId="34" fillId="27" borderId="1" xfId="18" applyNumberFormat="1" applyFont="1" applyFill="1" applyBorder="1" applyAlignment="1">
      <alignment vertical="center"/>
    </xf>
    <xf numFmtId="168" fontId="34" fillId="0" borderId="1" xfId="17" applyNumberFormat="1" applyFont="1" applyBorder="1"/>
    <xf numFmtId="0" fontId="34" fillId="0" borderId="1" xfId="17" applyFont="1" applyBorder="1" applyAlignment="1">
      <alignment horizontal="center" vertical="center"/>
    </xf>
    <xf numFmtId="168" fontId="34" fillId="0" borderId="1" xfId="19" applyNumberFormat="1" applyFont="1" applyBorder="1" applyAlignment="1">
      <alignment vertical="center"/>
    </xf>
    <xf numFmtId="0" fontId="34" fillId="27" borderId="1" xfId="17" applyFont="1" applyFill="1" applyBorder="1"/>
    <xf numFmtId="168" fontId="34" fillId="27" borderId="1" xfId="18" applyNumberFormat="1" applyFont="1" applyFill="1" applyBorder="1"/>
    <xf numFmtId="9" fontId="34" fillId="0" borderId="1" xfId="20" applyFont="1" applyBorder="1" applyAlignment="1">
      <alignment vertical="center"/>
    </xf>
    <xf numFmtId="10" fontId="34" fillId="0" borderId="1" xfId="17" applyNumberFormat="1" applyFont="1" applyBorder="1" applyAlignment="1">
      <alignment vertical="center"/>
    </xf>
    <xf numFmtId="168" fontId="33" fillId="27" borderId="1" xfId="19" applyNumberFormat="1" applyFont="1" applyFill="1" applyBorder="1" applyAlignment="1">
      <alignment vertical="center"/>
    </xf>
    <xf numFmtId="43" fontId="34" fillId="0" borderId="1" xfId="17" applyNumberFormat="1" applyFont="1" applyBorder="1" applyAlignment="1">
      <alignment vertical="center"/>
    </xf>
    <xf numFmtId="0" fontId="33" fillId="27" borderId="1" xfId="17" applyFont="1" applyFill="1" applyBorder="1"/>
    <xf numFmtId="168" fontId="33" fillId="27" borderId="1" xfId="18" applyNumberFormat="1" applyFont="1" applyFill="1" applyBorder="1"/>
    <xf numFmtId="10" fontId="34" fillId="27" borderId="1" xfId="20" applyNumberFormat="1" applyFont="1" applyFill="1" applyBorder="1"/>
    <xf numFmtId="168" fontId="34" fillId="27" borderId="1" xfId="17" applyNumberFormat="1" applyFont="1" applyFill="1" applyBorder="1"/>
    <xf numFmtId="43" fontId="34" fillId="0" borderId="0" xfId="17" applyNumberFormat="1" applyFont="1" applyAlignment="1">
      <alignment vertical="center"/>
    </xf>
    <xf numFmtId="0" fontId="34" fillId="0" borderId="0" xfId="17" applyFont="1" applyAlignment="1">
      <alignment wrapText="1"/>
    </xf>
    <xf numFmtId="0" fontId="34" fillId="0" borderId="0" xfId="17" applyFont="1" applyAlignment="1">
      <alignment horizontal="right" vertical="center"/>
    </xf>
  </cellXfs>
  <cellStyles count="21">
    <cellStyle name="Comma" xfId="1" builtinId="3"/>
    <cellStyle name="Comma 2" xfId="8" xr:uid="{48F2776D-F0E4-4FBD-89CE-AFF06C4F5C0D}"/>
    <cellStyle name="Comma 2 2" xfId="19" xr:uid="{841B4111-F940-40C7-92FD-55AA09B1D80F}"/>
    <cellStyle name="Comma 3" xfId="11" xr:uid="{652102C8-F4C0-491E-9E37-8C2A0E971CDF}"/>
    <cellStyle name="Comma 3 3" xfId="15" xr:uid="{FE8D95C8-C706-423C-AA3E-FE719B58E075}"/>
    <cellStyle name="Comma 4" xfId="18" xr:uid="{07F8040C-2E2A-45ED-BF78-09123CEAB7F7}"/>
    <cellStyle name="Excel Built-in Normal" xfId="5" xr:uid="{00000000-0005-0000-0000-000033000000}"/>
    <cellStyle name="Normal" xfId="0" builtinId="0"/>
    <cellStyle name="Normal 2" xfId="4" xr:uid="{00000000-0005-0000-0000-000021000000}"/>
    <cellStyle name="Normal 2 14" xfId="3" xr:uid="{00000000-0005-0000-0000-000015000000}"/>
    <cellStyle name="Normal 2 2" xfId="17" xr:uid="{5CC7944A-B8D9-4FCB-9AF7-9E082F096244}"/>
    <cellStyle name="Normal 3" xfId="6" xr:uid="{2184D395-B8A4-4735-B0F9-87FDB7812577}"/>
    <cellStyle name="Normal 3 2" xfId="10" xr:uid="{2F7A7E4E-6D61-4B9F-AE79-5192EF401AAA}"/>
    <cellStyle name="Normal 3 5" xfId="14" xr:uid="{1D30C51C-4772-4659-9968-E52F29E90258}"/>
    <cellStyle name="Normal 4" xfId="7" xr:uid="{272BBB29-B947-463D-BFC5-414B31216246}"/>
    <cellStyle name="Normal 4 2" xfId="9" xr:uid="{A44D3E14-54D0-4FD1-A570-04CE999C86AF}"/>
    <cellStyle name="Normal 5" xfId="12" xr:uid="{6C52C30B-ACE2-4970-9721-00E08E6826F2}"/>
    <cellStyle name="Percent" xfId="2" builtinId="5"/>
    <cellStyle name="Percent 2" xfId="13" xr:uid="{E19FFF37-1A96-424A-8ADB-57AFE13E5B75}"/>
    <cellStyle name="Percent 2 5" xfId="16" xr:uid="{E6FF5D2A-90CF-4D86-BE90-89F7E8290D1E}"/>
    <cellStyle name="Percent 3" xfId="20" xr:uid="{35FAA0BD-0042-4A2D-90D9-B61B80D54AD1}"/>
  </cellStyles>
  <dxfs count="0"/>
  <tableStyles count="0" defaultTableStyle="TableStyleMedium2" defaultPivotStyle="PivotStyleLight16"/>
  <colors>
    <mruColors>
      <color rgb="FF0921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518160</xdr:colOff>
      <xdr:row>1</xdr:row>
      <xdr:rowOff>45720</xdr:rowOff>
    </xdr:from>
    <xdr:to>
      <xdr:col>4</xdr:col>
      <xdr:colOff>1507434</xdr:colOff>
      <xdr:row>1</xdr:row>
      <xdr:rowOff>426720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18CAF9A-37DB-CBB6-F520-3536284327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4480" y="220980"/>
          <a:ext cx="162306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9"/>
  <sheetViews>
    <sheetView showGridLines="0" tabSelected="1" topLeftCell="A25" zoomScale="85" zoomScaleNormal="85" workbookViewId="0">
      <selection activeCell="E20" sqref="E20"/>
    </sheetView>
  </sheetViews>
  <sheetFormatPr defaultColWidth="9" defaultRowHeight="14.25"/>
  <cols>
    <col min="1" max="1" width="9.140625" style="13" bestFit="1" customWidth="1"/>
    <col min="2" max="2" width="36.42578125" style="10" bestFit="1" customWidth="1"/>
    <col min="3" max="3" width="40" style="10" customWidth="1"/>
    <col min="4" max="4" width="9.28515625" style="11" customWidth="1"/>
    <col min="5" max="5" width="24" style="10" customWidth="1"/>
    <col min="6" max="6" width="14.42578125" style="12" customWidth="1"/>
    <col min="7" max="7" width="22.5703125" style="13" customWidth="1"/>
    <col min="8" max="8" width="16.85546875" style="13" customWidth="1"/>
    <col min="9" max="9" width="17.85546875" style="13" customWidth="1"/>
    <col min="10" max="10" width="15.42578125" style="13" customWidth="1"/>
    <col min="11" max="11" width="8.42578125" style="13" customWidth="1"/>
    <col min="12" max="12" width="10.42578125" style="13" customWidth="1"/>
    <col min="13" max="13" width="11.42578125" style="10" customWidth="1"/>
    <col min="14" max="14" width="10.42578125" style="13" customWidth="1"/>
    <col min="15" max="15" width="13.140625" style="13" customWidth="1"/>
    <col min="16" max="16" width="12.140625" style="13" bestFit="1" customWidth="1"/>
    <col min="17" max="18" width="18" style="13" customWidth="1"/>
    <col min="19" max="19" width="28.85546875" style="13" bestFit="1" customWidth="1"/>
    <col min="20" max="20" width="11.42578125" style="13" bestFit="1" customWidth="1"/>
    <col min="21" max="23" width="14.140625" style="13" customWidth="1"/>
    <col min="24" max="25" width="9" style="13"/>
    <col min="26" max="26" width="28.42578125" style="13" bestFit="1" customWidth="1"/>
    <col min="27" max="16384" width="9" style="13"/>
  </cols>
  <sheetData>
    <row r="2" spans="2:10" ht="37.9" customHeight="1">
      <c r="B2" s="150" t="s">
        <v>0</v>
      </c>
      <c r="C2" s="151"/>
      <c r="D2" s="151"/>
      <c r="E2" s="152"/>
    </row>
    <row r="3" spans="2:10" ht="20.25">
      <c r="B3" s="77" t="s">
        <v>1</v>
      </c>
      <c r="C3" s="149" t="s">
        <v>280</v>
      </c>
      <c r="D3" s="149"/>
      <c r="E3" s="149"/>
    </row>
    <row r="4" spans="2:10" ht="30">
      <c r="B4" s="77" t="s">
        <v>2</v>
      </c>
      <c r="C4" s="149" t="s">
        <v>281</v>
      </c>
      <c r="D4" s="149"/>
      <c r="E4" s="149"/>
      <c r="G4" s="134" t="s">
        <v>3</v>
      </c>
      <c r="H4" s="120" t="s">
        <v>39</v>
      </c>
      <c r="I4" s="120" t="s">
        <v>4</v>
      </c>
      <c r="J4" s="120" t="s">
        <v>5</v>
      </c>
    </row>
    <row r="5" spans="2:10" ht="22.15" customHeight="1">
      <c r="B5" s="77" t="s">
        <v>6</v>
      </c>
      <c r="C5" s="149" t="s">
        <v>282</v>
      </c>
      <c r="D5" s="149"/>
      <c r="E5" s="149"/>
      <c r="G5" s="140" t="s">
        <v>174</v>
      </c>
      <c r="H5" s="119">
        <v>0.15</v>
      </c>
      <c r="I5" s="119">
        <v>0.4</v>
      </c>
      <c r="J5" s="119">
        <v>0.35</v>
      </c>
    </row>
    <row r="6" spans="2:10" ht="20.25">
      <c r="B6" s="77" t="s">
        <v>7</v>
      </c>
      <c r="C6" s="149" t="s">
        <v>307</v>
      </c>
      <c r="D6" s="149"/>
      <c r="E6" s="149"/>
    </row>
    <row r="7" spans="2:10" ht="67.5" customHeight="1">
      <c r="B7" s="77" t="s">
        <v>176</v>
      </c>
      <c r="C7" s="155" t="s">
        <v>303</v>
      </c>
      <c r="D7" s="156"/>
      <c r="E7" s="156"/>
      <c r="H7" s="123"/>
      <c r="I7" s="123"/>
      <c r="J7" s="123"/>
    </row>
    <row r="8" spans="2:10" ht="20.25">
      <c r="B8" s="77" t="s">
        <v>177</v>
      </c>
      <c r="C8" s="85" t="s">
        <v>308</v>
      </c>
      <c r="D8" s="86"/>
      <c r="E8" s="87"/>
      <c r="H8" s="123"/>
      <c r="I8" s="123"/>
      <c r="J8" s="123"/>
    </row>
    <row r="9" spans="2:10" ht="20.25">
      <c r="B9" s="77" t="s">
        <v>8</v>
      </c>
      <c r="C9" s="85" t="s">
        <v>304</v>
      </c>
      <c r="D9" s="86"/>
      <c r="E9" s="87"/>
      <c r="G9"/>
      <c r="J9" s="22"/>
    </row>
    <row r="10" spans="2:10" ht="20.25">
      <c r="B10" s="77" t="s">
        <v>9</v>
      </c>
      <c r="C10" s="149" t="s">
        <v>305</v>
      </c>
      <c r="D10" s="149"/>
      <c r="E10" s="149"/>
      <c r="G10"/>
    </row>
    <row r="11" spans="2:10" ht="18">
      <c r="D11" s="64"/>
    </row>
    <row r="12" spans="2:10" ht="23.25">
      <c r="B12" s="153" t="s">
        <v>10</v>
      </c>
      <c r="C12" s="154"/>
      <c r="D12" s="13"/>
      <c r="E12" s="13"/>
      <c r="F12" s="13"/>
    </row>
    <row r="13" spans="2:10" ht="18.75">
      <c r="B13" s="82" t="s">
        <v>11</v>
      </c>
      <c r="C13" s="83">
        <f>F79</f>
        <v>3707473</v>
      </c>
      <c r="D13" s="13"/>
      <c r="E13" s="13"/>
      <c r="F13" s="78"/>
      <c r="G13" s="79"/>
    </row>
    <row r="14" spans="2:10" ht="18.75">
      <c r="B14" s="82" t="s">
        <v>12</v>
      </c>
      <c r="C14" s="83">
        <f>H79</f>
        <v>4594010</v>
      </c>
      <c r="D14" s="13"/>
      <c r="E14" s="13"/>
      <c r="F14" s="78"/>
      <c r="G14" s="79"/>
    </row>
    <row r="15" spans="2:10" ht="18.75">
      <c r="B15" s="82" t="s">
        <v>13</v>
      </c>
      <c r="C15" s="83">
        <f>L79</f>
        <v>826921.7999999997</v>
      </c>
      <c r="D15" s="13"/>
      <c r="E15" s="13"/>
      <c r="F15" s="78"/>
      <c r="G15" s="79"/>
    </row>
    <row r="16" spans="2:10" ht="18.75">
      <c r="B16" s="82" t="s">
        <v>14</v>
      </c>
      <c r="C16" s="83">
        <f>SUM(C14:C15)</f>
        <v>5420931.7999999998</v>
      </c>
      <c r="D16" s="13"/>
      <c r="E16" s="13"/>
      <c r="F16" s="78"/>
      <c r="G16" s="79"/>
    </row>
    <row r="17" spans="1:19" ht="18.75">
      <c r="B17" s="82" t="s">
        <v>306</v>
      </c>
      <c r="C17" s="83">
        <f>'Workforce Budget'!H17</f>
        <v>100227.31875000001</v>
      </c>
      <c r="D17" s="13"/>
      <c r="E17" s="13"/>
      <c r="F17" s="78"/>
      <c r="G17" s="79"/>
    </row>
    <row r="18" spans="1:19" ht="18.75">
      <c r="B18" s="82" t="s">
        <v>15</v>
      </c>
      <c r="C18" s="83">
        <f>'Workforce Budget'!J17</f>
        <v>50113.647499999999</v>
      </c>
      <c r="D18" s="13"/>
      <c r="E18" s="13"/>
      <c r="F18" s="78"/>
      <c r="G18" s="79"/>
    </row>
    <row r="19" spans="1:19" ht="18.75">
      <c r="B19" s="82" t="s">
        <v>283</v>
      </c>
      <c r="C19" s="83">
        <v>25000</v>
      </c>
      <c r="D19" s="13"/>
      <c r="E19" s="13"/>
      <c r="F19" s="78"/>
      <c r="G19" s="79"/>
    </row>
    <row r="20" spans="1:19" ht="20.25">
      <c r="B20" s="77" t="s">
        <v>16</v>
      </c>
      <c r="C20" s="84">
        <f>C14-C13-C17-C19-C18</f>
        <v>711196.03375000006</v>
      </c>
      <c r="D20" s="13"/>
      <c r="E20" s="13"/>
      <c r="F20" s="78"/>
      <c r="G20" s="79"/>
    </row>
    <row r="21" spans="1:19" ht="20.25">
      <c r="B21" s="80" t="s">
        <v>17</v>
      </c>
      <c r="C21" s="81">
        <f>C20/C14</f>
        <v>0.15480942221501479</v>
      </c>
      <c r="D21" s="13"/>
      <c r="E21" s="13"/>
      <c r="F21" s="78"/>
      <c r="G21" s="79"/>
    </row>
    <row r="22" spans="1:19" ht="20.25">
      <c r="B22" s="135" t="s">
        <v>3</v>
      </c>
      <c r="C22" s="173" t="str">
        <f>Q28</f>
        <v>SITC/AMC/Product</v>
      </c>
      <c r="D22" s="13"/>
      <c r="E22" s="13"/>
      <c r="F22" s="78"/>
      <c r="G22" s="79"/>
    </row>
    <row r="23" spans="1:19" ht="20.25">
      <c r="B23" s="135" t="s">
        <v>171</v>
      </c>
      <c r="C23" s="136">
        <f>_xlfn.XLOOKUP(C22,H4:J4,H5:J5,0)</f>
        <v>0.15</v>
      </c>
      <c r="D23" s="13"/>
      <c r="E23" s="13"/>
      <c r="F23" s="78"/>
      <c r="G23" s="79"/>
    </row>
    <row r="24" spans="1:19" ht="20.25">
      <c r="B24" s="80" t="s">
        <v>172</v>
      </c>
      <c r="C24" s="137">
        <f>C21-C23</f>
        <v>4.8094222150147914E-3</v>
      </c>
      <c r="D24" s="13"/>
      <c r="E24" s="13"/>
      <c r="F24" s="78"/>
      <c r="G24" s="79"/>
    </row>
    <row r="25" spans="1:19" ht="43.9" customHeight="1">
      <c r="B25" s="138" t="s">
        <v>173</v>
      </c>
      <c r="C25" s="139" t="s">
        <v>305</v>
      </c>
      <c r="D25" s="13"/>
      <c r="E25" s="13"/>
      <c r="F25" s="78"/>
      <c r="G25" s="79"/>
    </row>
    <row r="26" spans="1:19" s="115" customFormat="1" ht="15.75" thickBot="1">
      <c r="B26" s="116"/>
      <c r="D26" s="117"/>
      <c r="E26" s="116"/>
      <c r="H26" s="118"/>
      <c r="M26" s="116"/>
      <c r="S26" s="174"/>
    </row>
    <row r="27" spans="1:19" s="10" customFormat="1" ht="32.25" thickTop="1">
      <c r="A27" s="88" t="s">
        <v>18</v>
      </c>
      <c r="B27" s="88" t="s">
        <v>19</v>
      </c>
      <c r="C27" s="88" t="s">
        <v>20</v>
      </c>
      <c r="D27" s="89" t="s">
        <v>21</v>
      </c>
      <c r="E27" s="90" t="s">
        <v>22</v>
      </c>
      <c r="F27" s="89" t="s">
        <v>23</v>
      </c>
      <c r="G27" s="89" t="s">
        <v>24</v>
      </c>
      <c r="H27" s="89" t="s">
        <v>25</v>
      </c>
      <c r="I27" s="89" t="s">
        <v>26</v>
      </c>
      <c r="J27" s="89" t="s">
        <v>27</v>
      </c>
      <c r="K27" s="89" t="s">
        <v>28</v>
      </c>
      <c r="L27" s="89" t="s">
        <v>29</v>
      </c>
      <c r="M27" s="89" t="s">
        <v>30</v>
      </c>
      <c r="N27" s="89" t="s">
        <v>31</v>
      </c>
      <c r="O27" s="88" t="s">
        <v>32</v>
      </c>
      <c r="P27" s="89" t="s">
        <v>33</v>
      </c>
      <c r="Q27" s="88" t="s">
        <v>3</v>
      </c>
      <c r="R27" s="88" t="s">
        <v>34</v>
      </c>
      <c r="S27" s="88" t="s">
        <v>35</v>
      </c>
    </row>
    <row r="28" spans="1:19" s="10" customFormat="1" ht="15.75">
      <c r="A28" s="91">
        <v>1</v>
      </c>
      <c r="B28" s="91" t="s">
        <v>183</v>
      </c>
      <c r="C28" s="141" t="s">
        <v>178</v>
      </c>
      <c r="D28" s="93">
        <v>3</v>
      </c>
      <c r="E28" s="142">
        <v>45500</v>
      </c>
      <c r="F28" s="143">
        <f>D28*E28</f>
        <v>136500</v>
      </c>
      <c r="G28" s="96">
        <v>52907</v>
      </c>
      <c r="H28" s="144">
        <f>G28*D28</f>
        <v>158721</v>
      </c>
      <c r="I28" s="143">
        <f>H28-F28</f>
        <v>22221</v>
      </c>
      <c r="J28" s="145">
        <f>I28/H28</f>
        <v>0.14000037802181187</v>
      </c>
      <c r="K28" s="146">
        <v>0.18</v>
      </c>
      <c r="L28" s="147">
        <f t="shared" ref="L28" si="0">H28*K28</f>
        <v>28569.78</v>
      </c>
      <c r="M28" s="148">
        <f t="shared" ref="M28" si="1">L28+H28</f>
        <v>187290.78</v>
      </c>
      <c r="N28" s="102" t="s">
        <v>90</v>
      </c>
      <c r="O28" s="102" t="s">
        <v>132</v>
      </c>
      <c r="P28" s="103" t="s">
        <v>167</v>
      </c>
      <c r="Q28" s="102" t="s">
        <v>39</v>
      </c>
      <c r="R28" s="57" t="s">
        <v>284</v>
      </c>
      <c r="S28" s="56" t="s">
        <v>138</v>
      </c>
    </row>
    <row r="29" spans="1:19" s="10" customFormat="1" ht="15.75">
      <c r="A29" s="91">
        <v>2</v>
      </c>
      <c r="B29" s="91" t="s">
        <v>184</v>
      </c>
      <c r="C29" s="141" t="s">
        <v>179</v>
      </c>
      <c r="D29" s="93">
        <v>4</v>
      </c>
      <c r="E29" s="142">
        <v>23500</v>
      </c>
      <c r="F29" s="143">
        <f t="shared" ref="F29:F78" si="2">D29*E29</f>
        <v>94000</v>
      </c>
      <c r="G29" s="96">
        <v>27326</v>
      </c>
      <c r="H29" s="144">
        <f t="shared" ref="H29:H78" si="3">G29*D29</f>
        <v>109304</v>
      </c>
      <c r="I29" s="143">
        <f t="shared" ref="I29:I78" si="4">H29-F29</f>
        <v>15304</v>
      </c>
      <c r="J29" s="145">
        <f t="shared" ref="J29:J78" si="5">I29/H29</f>
        <v>0.14001317426626655</v>
      </c>
      <c r="K29" s="146">
        <v>0.18</v>
      </c>
      <c r="L29" s="147">
        <f t="shared" ref="L29:L78" si="6">H29*K29</f>
        <v>19674.719999999998</v>
      </c>
      <c r="M29" s="148">
        <f t="shared" ref="M29:M78" si="7">L29+H29</f>
        <v>128978.72</v>
      </c>
      <c r="N29" s="102" t="s">
        <v>90</v>
      </c>
      <c r="O29" s="102" t="s">
        <v>132</v>
      </c>
      <c r="P29" s="103" t="s">
        <v>167</v>
      </c>
      <c r="Q29" s="102" t="s">
        <v>39</v>
      </c>
      <c r="R29" s="57" t="s">
        <v>285</v>
      </c>
      <c r="S29" s="56" t="s">
        <v>138</v>
      </c>
    </row>
    <row r="30" spans="1:19" s="10" customFormat="1" ht="15.75">
      <c r="A30" s="91">
        <v>3</v>
      </c>
      <c r="B30" s="91" t="s">
        <v>185</v>
      </c>
      <c r="C30" s="141" t="s">
        <v>180</v>
      </c>
      <c r="D30" s="93">
        <v>4</v>
      </c>
      <c r="E30" s="142">
        <v>33000</v>
      </c>
      <c r="F30" s="143">
        <f t="shared" si="2"/>
        <v>132000</v>
      </c>
      <c r="G30" s="96">
        <v>38372</v>
      </c>
      <c r="H30" s="144">
        <f t="shared" si="3"/>
        <v>153488</v>
      </c>
      <c r="I30" s="143">
        <f t="shared" si="4"/>
        <v>21488</v>
      </c>
      <c r="J30" s="145">
        <f t="shared" si="5"/>
        <v>0.13999791514646096</v>
      </c>
      <c r="K30" s="146">
        <v>0.18</v>
      </c>
      <c r="L30" s="147">
        <f t="shared" si="6"/>
        <v>27627.84</v>
      </c>
      <c r="M30" s="148">
        <f t="shared" si="7"/>
        <v>181115.84</v>
      </c>
      <c r="N30" s="102" t="s">
        <v>90</v>
      </c>
      <c r="O30" s="102" t="s">
        <v>132</v>
      </c>
      <c r="P30" s="103" t="s">
        <v>167</v>
      </c>
      <c r="Q30" s="102" t="s">
        <v>39</v>
      </c>
      <c r="R30" s="57" t="s">
        <v>286</v>
      </c>
      <c r="S30" s="56" t="s">
        <v>141</v>
      </c>
    </row>
    <row r="31" spans="1:19" s="10" customFormat="1" ht="15.75">
      <c r="A31" s="91">
        <v>4</v>
      </c>
      <c r="B31" s="91" t="s">
        <v>186</v>
      </c>
      <c r="C31" s="141" t="s">
        <v>181</v>
      </c>
      <c r="D31" s="93">
        <v>2</v>
      </c>
      <c r="E31" s="142">
        <v>115709</v>
      </c>
      <c r="F31" s="143">
        <f t="shared" si="2"/>
        <v>231418</v>
      </c>
      <c r="G31" s="96">
        <v>134545</v>
      </c>
      <c r="H31" s="144">
        <f t="shared" si="3"/>
        <v>269090</v>
      </c>
      <c r="I31" s="143">
        <f t="shared" si="4"/>
        <v>37672</v>
      </c>
      <c r="J31" s="145">
        <f t="shared" si="5"/>
        <v>0.13999777026273738</v>
      </c>
      <c r="K31" s="146">
        <v>0.18</v>
      </c>
      <c r="L31" s="147">
        <f t="shared" si="6"/>
        <v>48436.2</v>
      </c>
      <c r="M31" s="148">
        <f t="shared" si="7"/>
        <v>317526.2</v>
      </c>
      <c r="N31" s="102" t="s">
        <v>90</v>
      </c>
      <c r="O31" s="102" t="s">
        <v>132</v>
      </c>
      <c r="P31" s="103" t="s">
        <v>97</v>
      </c>
      <c r="Q31" s="102" t="s">
        <v>39</v>
      </c>
      <c r="R31" s="57" t="s">
        <v>287</v>
      </c>
      <c r="S31" s="56" t="s">
        <v>150</v>
      </c>
    </row>
    <row r="32" spans="1:19" s="10" customFormat="1" ht="15.75">
      <c r="A32" s="91">
        <v>5</v>
      </c>
      <c r="B32" s="91" t="s">
        <v>187</v>
      </c>
      <c r="C32" s="141" t="s">
        <v>182</v>
      </c>
      <c r="D32" s="93">
        <v>1</v>
      </c>
      <c r="E32" s="142">
        <v>548000</v>
      </c>
      <c r="F32" s="143">
        <f t="shared" si="2"/>
        <v>548000</v>
      </c>
      <c r="G32" s="96">
        <v>637209</v>
      </c>
      <c r="H32" s="144">
        <f t="shared" si="3"/>
        <v>637209</v>
      </c>
      <c r="I32" s="143">
        <f t="shared" si="4"/>
        <v>89209</v>
      </c>
      <c r="J32" s="145">
        <f t="shared" si="5"/>
        <v>0.13999959197060932</v>
      </c>
      <c r="K32" s="146">
        <v>0.18</v>
      </c>
      <c r="L32" s="147">
        <f t="shared" si="6"/>
        <v>114697.62</v>
      </c>
      <c r="M32" s="148">
        <f t="shared" si="7"/>
        <v>751906.62</v>
      </c>
      <c r="N32" s="102" t="s">
        <v>90</v>
      </c>
      <c r="O32" s="102" t="s">
        <v>132</v>
      </c>
      <c r="P32" s="103" t="s">
        <v>167</v>
      </c>
      <c r="Q32" s="102" t="s">
        <v>39</v>
      </c>
      <c r="R32" s="57" t="s">
        <v>288</v>
      </c>
      <c r="S32" s="175" t="s">
        <v>309</v>
      </c>
    </row>
    <row r="33" spans="1:19" s="10" customFormat="1" ht="15.75">
      <c r="A33" s="91">
        <v>6</v>
      </c>
      <c r="B33" s="91" t="s">
        <v>188</v>
      </c>
      <c r="C33" s="141" t="s">
        <v>193</v>
      </c>
      <c r="D33" s="93">
        <v>4</v>
      </c>
      <c r="E33" s="94">
        <v>4250</v>
      </c>
      <c r="F33" s="95">
        <f t="shared" si="2"/>
        <v>17000</v>
      </c>
      <c r="G33" s="96">
        <v>6071</v>
      </c>
      <c r="H33" s="97">
        <f t="shared" si="3"/>
        <v>24284</v>
      </c>
      <c r="I33" s="95">
        <f t="shared" si="4"/>
        <v>7284</v>
      </c>
      <c r="J33" s="98">
        <f t="shared" si="5"/>
        <v>0.29995058474715863</v>
      </c>
      <c r="K33" s="99">
        <v>0.18</v>
      </c>
      <c r="L33" s="100">
        <f t="shared" si="6"/>
        <v>4371.12</v>
      </c>
      <c r="M33" s="101">
        <f t="shared" si="7"/>
        <v>28655.119999999999</v>
      </c>
      <c r="N33" s="102" t="s">
        <v>90</v>
      </c>
      <c r="O33" s="102" t="s">
        <v>132</v>
      </c>
      <c r="P33" s="103" t="s">
        <v>168</v>
      </c>
      <c r="Q33" s="102" t="s">
        <v>39</v>
      </c>
      <c r="R33" s="57" t="s">
        <v>289</v>
      </c>
      <c r="S33" s="175" t="s">
        <v>310</v>
      </c>
    </row>
    <row r="34" spans="1:19" s="10" customFormat="1" ht="15.75">
      <c r="A34" s="91">
        <v>7</v>
      </c>
      <c r="B34" s="91" t="s">
        <v>189</v>
      </c>
      <c r="C34" s="141" t="s">
        <v>194</v>
      </c>
      <c r="D34" s="93">
        <v>4</v>
      </c>
      <c r="E34" s="94">
        <v>1750</v>
      </c>
      <c r="F34" s="95">
        <f t="shared" si="2"/>
        <v>7000</v>
      </c>
      <c r="G34" s="96">
        <v>2035</v>
      </c>
      <c r="H34" s="97">
        <f t="shared" si="3"/>
        <v>8140</v>
      </c>
      <c r="I34" s="95">
        <f t="shared" si="4"/>
        <v>1140</v>
      </c>
      <c r="J34" s="98">
        <f t="shared" si="5"/>
        <v>0.14004914004914004</v>
      </c>
      <c r="K34" s="99">
        <v>0.18</v>
      </c>
      <c r="L34" s="100">
        <f t="shared" si="6"/>
        <v>1465.2</v>
      </c>
      <c r="M34" s="101">
        <f t="shared" si="7"/>
        <v>9605.2000000000007</v>
      </c>
      <c r="N34" s="102" t="s">
        <v>90</v>
      </c>
      <c r="O34" s="102" t="s">
        <v>132</v>
      </c>
      <c r="P34" s="103" t="s">
        <v>167</v>
      </c>
      <c r="Q34" s="102" t="s">
        <v>39</v>
      </c>
      <c r="R34" s="57" t="s">
        <v>289</v>
      </c>
      <c r="S34" s="175" t="s">
        <v>104</v>
      </c>
    </row>
    <row r="35" spans="1:19" s="10" customFormat="1" ht="15.75">
      <c r="A35" s="91">
        <v>8</v>
      </c>
      <c r="B35" s="91" t="s">
        <v>190</v>
      </c>
      <c r="C35" s="141" t="s">
        <v>195</v>
      </c>
      <c r="D35" s="93">
        <v>4</v>
      </c>
      <c r="E35" s="94">
        <v>3789</v>
      </c>
      <c r="F35" s="95">
        <f t="shared" si="2"/>
        <v>15156</v>
      </c>
      <c r="G35" s="96">
        <v>4406</v>
      </c>
      <c r="H35" s="97">
        <f t="shared" si="3"/>
        <v>17624</v>
      </c>
      <c r="I35" s="95">
        <f t="shared" si="4"/>
        <v>2468</v>
      </c>
      <c r="J35" s="98">
        <f t="shared" si="5"/>
        <v>0.14003631411711304</v>
      </c>
      <c r="K35" s="99">
        <v>0.18</v>
      </c>
      <c r="L35" s="100">
        <f t="shared" si="6"/>
        <v>3172.3199999999997</v>
      </c>
      <c r="M35" s="101">
        <f t="shared" si="7"/>
        <v>20796.32</v>
      </c>
      <c r="N35" s="102" t="s">
        <v>90</v>
      </c>
      <c r="O35" s="102" t="s">
        <v>132</v>
      </c>
      <c r="P35" s="103" t="s">
        <v>168</v>
      </c>
      <c r="Q35" s="102" t="s">
        <v>39</v>
      </c>
      <c r="R35" s="57" t="s">
        <v>290</v>
      </c>
      <c r="S35" s="175" t="s">
        <v>312</v>
      </c>
    </row>
    <row r="36" spans="1:19" s="10" customFormat="1" ht="15.75">
      <c r="A36" s="91">
        <v>9</v>
      </c>
      <c r="B36" s="91" t="s">
        <v>191</v>
      </c>
      <c r="C36" s="141" t="s">
        <v>196</v>
      </c>
      <c r="D36" s="93">
        <v>8</v>
      </c>
      <c r="E36" s="94">
        <v>850</v>
      </c>
      <c r="F36" s="95">
        <f t="shared" si="2"/>
        <v>6800</v>
      </c>
      <c r="G36" s="96">
        <v>988</v>
      </c>
      <c r="H36" s="97">
        <f t="shared" si="3"/>
        <v>7904</v>
      </c>
      <c r="I36" s="95">
        <f t="shared" si="4"/>
        <v>1104</v>
      </c>
      <c r="J36" s="98">
        <f t="shared" si="5"/>
        <v>0.1396761133603239</v>
      </c>
      <c r="K36" s="99">
        <v>0.18</v>
      </c>
      <c r="L36" s="100">
        <f t="shared" si="6"/>
        <v>1422.72</v>
      </c>
      <c r="M36" s="101">
        <f t="shared" si="7"/>
        <v>9326.7199999999993</v>
      </c>
      <c r="N36" s="102" t="s">
        <v>90</v>
      </c>
      <c r="O36" s="102" t="s">
        <v>132</v>
      </c>
      <c r="P36" s="103" t="s">
        <v>168</v>
      </c>
      <c r="Q36" s="102" t="s">
        <v>39</v>
      </c>
      <c r="R36" s="57" t="s">
        <v>290</v>
      </c>
      <c r="S36" s="175" t="s">
        <v>312</v>
      </c>
    </row>
    <row r="37" spans="1:19" s="10" customFormat="1" ht="15.75">
      <c r="A37" s="91">
        <v>10</v>
      </c>
      <c r="B37" s="91" t="s">
        <v>192</v>
      </c>
      <c r="C37" s="141" t="s">
        <v>197</v>
      </c>
      <c r="D37" s="93">
        <v>100</v>
      </c>
      <c r="E37" s="94">
        <v>45</v>
      </c>
      <c r="F37" s="95">
        <f t="shared" si="2"/>
        <v>4500</v>
      </c>
      <c r="G37" s="96">
        <v>52</v>
      </c>
      <c r="H37" s="97">
        <f t="shared" si="3"/>
        <v>5200</v>
      </c>
      <c r="I37" s="95">
        <f t="shared" si="4"/>
        <v>700</v>
      </c>
      <c r="J37" s="98">
        <f t="shared" si="5"/>
        <v>0.13461538461538461</v>
      </c>
      <c r="K37" s="99">
        <v>0.18</v>
      </c>
      <c r="L37" s="100">
        <f t="shared" si="6"/>
        <v>936</v>
      </c>
      <c r="M37" s="101">
        <f t="shared" si="7"/>
        <v>6136</v>
      </c>
      <c r="N37" s="102" t="s">
        <v>90</v>
      </c>
      <c r="O37" s="102" t="s">
        <v>132</v>
      </c>
      <c r="P37" s="103" t="s">
        <v>167</v>
      </c>
      <c r="Q37" s="102" t="s">
        <v>39</v>
      </c>
      <c r="R37" s="57" t="s">
        <v>291</v>
      </c>
      <c r="S37" s="175" t="s">
        <v>312</v>
      </c>
    </row>
    <row r="38" spans="1:19" s="10" customFormat="1" ht="31.5">
      <c r="A38" s="91">
        <v>11</v>
      </c>
      <c r="B38" s="91" t="s">
        <v>198</v>
      </c>
      <c r="C38" s="92" t="s">
        <v>203</v>
      </c>
      <c r="D38" s="93">
        <v>50</v>
      </c>
      <c r="E38" s="94">
        <v>2763</v>
      </c>
      <c r="F38" s="95">
        <f t="shared" si="2"/>
        <v>138150</v>
      </c>
      <c r="G38" s="96">
        <v>4563</v>
      </c>
      <c r="H38" s="97">
        <f t="shared" si="3"/>
        <v>228150</v>
      </c>
      <c r="I38" s="95">
        <f t="shared" si="4"/>
        <v>90000</v>
      </c>
      <c r="J38" s="98">
        <f t="shared" si="5"/>
        <v>0.39447731755424065</v>
      </c>
      <c r="K38" s="99">
        <v>0.18</v>
      </c>
      <c r="L38" s="100">
        <f t="shared" si="6"/>
        <v>41067</v>
      </c>
      <c r="M38" s="101">
        <f t="shared" si="7"/>
        <v>269217</v>
      </c>
      <c r="N38" s="102" t="s">
        <v>90</v>
      </c>
      <c r="O38" s="102" t="s">
        <v>132</v>
      </c>
      <c r="P38" s="103" t="s">
        <v>168</v>
      </c>
      <c r="Q38" s="102" t="s">
        <v>39</v>
      </c>
      <c r="R38" s="57" t="s">
        <v>292</v>
      </c>
      <c r="S38" s="175" t="s">
        <v>311</v>
      </c>
    </row>
    <row r="39" spans="1:19" s="10" customFormat="1" ht="15.75">
      <c r="A39" s="91">
        <v>12</v>
      </c>
      <c r="B39" s="91" t="s">
        <v>199</v>
      </c>
      <c r="C39" s="92" t="s">
        <v>204</v>
      </c>
      <c r="D39" s="93">
        <v>1</v>
      </c>
      <c r="E39" s="94">
        <v>40387</v>
      </c>
      <c r="F39" s="95">
        <f t="shared" si="2"/>
        <v>40387</v>
      </c>
      <c r="G39" s="96">
        <v>46962</v>
      </c>
      <c r="H39" s="97">
        <f t="shared" si="3"/>
        <v>46962</v>
      </c>
      <c r="I39" s="95">
        <f t="shared" si="4"/>
        <v>6575</v>
      </c>
      <c r="J39" s="98">
        <f t="shared" si="5"/>
        <v>0.14000681401984583</v>
      </c>
      <c r="K39" s="99">
        <v>0.18</v>
      </c>
      <c r="L39" s="100">
        <f t="shared" si="6"/>
        <v>8453.16</v>
      </c>
      <c r="M39" s="101">
        <f t="shared" si="7"/>
        <v>55415.16</v>
      </c>
      <c r="N39" s="102" t="s">
        <v>90</v>
      </c>
      <c r="O39" s="102" t="s">
        <v>132</v>
      </c>
      <c r="P39" s="103" t="s">
        <v>167</v>
      </c>
      <c r="Q39" s="102" t="s">
        <v>39</v>
      </c>
      <c r="R39" s="57" t="s">
        <v>292</v>
      </c>
      <c r="S39" s="175" t="s">
        <v>313</v>
      </c>
    </row>
    <row r="40" spans="1:19" s="10" customFormat="1" ht="31.5">
      <c r="A40" s="91">
        <v>13</v>
      </c>
      <c r="B40" s="91" t="s">
        <v>200</v>
      </c>
      <c r="C40" s="92" t="s">
        <v>205</v>
      </c>
      <c r="D40" s="93">
        <v>4</v>
      </c>
      <c r="E40" s="94">
        <v>38950</v>
      </c>
      <c r="F40" s="95">
        <f t="shared" si="2"/>
        <v>155800</v>
      </c>
      <c r="G40" s="96">
        <v>45291</v>
      </c>
      <c r="H40" s="97">
        <f t="shared" si="3"/>
        <v>181164</v>
      </c>
      <c r="I40" s="95">
        <f t="shared" si="4"/>
        <v>25364</v>
      </c>
      <c r="J40" s="98">
        <f t="shared" si="5"/>
        <v>0.14000574065487625</v>
      </c>
      <c r="K40" s="99">
        <v>0.18</v>
      </c>
      <c r="L40" s="100">
        <f t="shared" si="6"/>
        <v>32609.52</v>
      </c>
      <c r="M40" s="101">
        <f t="shared" si="7"/>
        <v>213773.52</v>
      </c>
      <c r="N40" s="102" t="s">
        <v>90</v>
      </c>
      <c r="O40" s="102" t="s">
        <v>132</v>
      </c>
      <c r="P40" s="103" t="s">
        <v>167</v>
      </c>
      <c r="Q40" s="102" t="s">
        <v>39</v>
      </c>
      <c r="R40" s="57" t="s">
        <v>293</v>
      </c>
      <c r="S40" s="175" t="s">
        <v>314</v>
      </c>
    </row>
    <row r="41" spans="1:19" s="10" customFormat="1" ht="15.75">
      <c r="A41" s="91">
        <v>14</v>
      </c>
      <c r="B41" s="91" t="s">
        <v>201</v>
      </c>
      <c r="C41" s="92" t="s">
        <v>206</v>
      </c>
      <c r="D41" s="93">
        <v>50</v>
      </c>
      <c r="E41" s="94">
        <v>90</v>
      </c>
      <c r="F41" s="95">
        <f t="shared" si="2"/>
        <v>4500</v>
      </c>
      <c r="G41" s="96">
        <v>105</v>
      </c>
      <c r="H41" s="97">
        <f t="shared" si="3"/>
        <v>5250</v>
      </c>
      <c r="I41" s="95">
        <f t="shared" si="4"/>
        <v>750</v>
      </c>
      <c r="J41" s="98">
        <f t="shared" si="5"/>
        <v>0.14285714285714285</v>
      </c>
      <c r="K41" s="99">
        <v>0.18</v>
      </c>
      <c r="L41" s="100">
        <f t="shared" si="6"/>
        <v>945</v>
      </c>
      <c r="M41" s="101">
        <f t="shared" si="7"/>
        <v>6195</v>
      </c>
      <c r="N41" s="102" t="s">
        <v>90</v>
      </c>
      <c r="O41" s="102" t="s">
        <v>132</v>
      </c>
      <c r="P41" s="103" t="s">
        <v>167</v>
      </c>
      <c r="Q41" s="102" t="s">
        <v>39</v>
      </c>
      <c r="R41" s="57" t="s">
        <v>290</v>
      </c>
      <c r="S41" s="175" t="s">
        <v>312</v>
      </c>
    </row>
    <row r="42" spans="1:19" s="10" customFormat="1" ht="15.75">
      <c r="A42" s="91">
        <v>15</v>
      </c>
      <c r="B42" s="91" t="s">
        <v>202</v>
      </c>
      <c r="C42" s="92" t="s">
        <v>207</v>
      </c>
      <c r="D42" s="93">
        <v>20</v>
      </c>
      <c r="E42" s="94">
        <v>500</v>
      </c>
      <c r="F42" s="95">
        <f t="shared" si="2"/>
        <v>10000</v>
      </c>
      <c r="G42" s="96">
        <v>581</v>
      </c>
      <c r="H42" s="97">
        <f t="shared" si="3"/>
        <v>11620</v>
      </c>
      <c r="I42" s="95">
        <f t="shared" si="4"/>
        <v>1620</v>
      </c>
      <c r="J42" s="98">
        <f t="shared" si="5"/>
        <v>0.13941480206540446</v>
      </c>
      <c r="K42" s="99">
        <v>0.18</v>
      </c>
      <c r="L42" s="100">
        <f t="shared" si="6"/>
        <v>2091.6</v>
      </c>
      <c r="M42" s="101">
        <f t="shared" si="7"/>
        <v>13711.6</v>
      </c>
      <c r="N42" s="102" t="s">
        <v>90</v>
      </c>
      <c r="O42" s="102" t="s">
        <v>132</v>
      </c>
      <c r="P42" s="103" t="s">
        <v>168</v>
      </c>
      <c r="Q42" s="102" t="s">
        <v>39</v>
      </c>
      <c r="R42" s="57" t="s">
        <v>290</v>
      </c>
      <c r="S42" s="175" t="s">
        <v>312</v>
      </c>
    </row>
    <row r="43" spans="1:19" s="10" customFormat="1" ht="15.75">
      <c r="A43" s="91">
        <v>16</v>
      </c>
      <c r="B43" s="91" t="s">
        <v>208</v>
      </c>
      <c r="C43" s="92" t="s">
        <v>211</v>
      </c>
      <c r="D43" s="93">
        <v>3</v>
      </c>
      <c r="E43" s="94">
        <v>73000</v>
      </c>
      <c r="F43" s="95">
        <f t="shared" si="2"/>
        <v>219000</v>
      </c>
      <c r="G43" s="96">
        <v>84884</v>
      </c>
      <c r="H43" s="97">
        <f t="shared" si="3"/>
        <v>254652</v>
      </c>
      <c r="I43" s="95">
        <f t="shared" si="4"/>
        <v>35652</v>
      </c>
      <c r="J43" s="98">
        <f t="shared" si="5"/>
        <v>0.14000282738796474</v>
      </c>
      <c r="K43" s="99">
        <v>0.18</v>
      </c>
      <c r="L43" s="100">
        <f t="shared" si="6"/>
        <v>45837.36</v>
      </c>
      <c r="M43" s="101">
        <f t="shared" si="7"/>
        <v>300489.36</v>
      </c>
      <c r="N43" s="102" t="s">
        <v>90</v>
      </c>
      <c r="O43" s="102" t="s">
        <v>132</v>
      </c>
      <c r="P43" s="103" t="s">
        <v>168</v>
      </c>
      <c r="Q43" s="102" t="s">
        <v>39</v>
      </c>
      <c r="R43" s="57" t="s">
        <v>294</v>
      </c>
      <c r="S43" s="175" t="s">
        <v>315</v>
      </c>
    </row>
    <row r="44" spans="1:19" s="10" customFormat="1" ht="47.25">
      <c r="A44" s="91">
        <v>17</v>
      </c>
      <c r="B44" s="91" t="s">
        <v>209</v>
      </c>
      <c r="C44" s="92" t="s">
        <v>212</v>
      </c>
      <c r="D44" s="93">
        <v>2</v>
      </c>
      <c r="E44" s="94">
        <v>7750</v>
      </c>
      <c r="F44" s="95">
        <f t="shared" si="2"/>
        <v>15500</v>
      </c>
      <c r="G44" s="96">
        <v>9012</v>
      </c>
      <c r="H44" s="97">
        <f t="shared" si="3"/>
        <v>18024</v>
      </c>
      <c r="I44" s="95">
        <f t="shared" si="4"/>
        <v>2524</v>
      </c>
      <c r="J44" s="98">
        <f t="shared" si="5"/>
        <v>0.14003550821127386</v>
      </c>
      <c r="K44" s="99">
        <v>0.18</v>
      </c>
      <c r="L44" s="100">
        <f t="shared" si="6"/>
        <v>3244.3199999999997</v>
      </c>
      <c r="M44" s="101">
        <f t="shared" si="7"/>
        <v>21268.32</v>
      </c>
      <c r="N44" s="102" t="s">
        <v>90</v>
      </c>
      <c r="O44" s="102" t="s">
        <v>132</v>
      </c>
      <c r="P44" s="103" t="s">
        <v>168</v>
      </c>
      <c r="Q44" s="102" t="s">
        <v>39</v>
      </c>
      <c r="R44" s="57" t="s">
        <v>295</v>
      </c>
      <c r="S44" s="175" t="s">
        <v>316</v>
      </c>
    </row>
    <row r="45" spans="1:19" s="10" customFormat="1" ht="15.75">
      <c r="A45" s="91">
        <v>18</v>
      </c>
      <c r="B45" s="91" t="s">
        <v>210</v>
      </c>
      <c r="C45" s="92" t="s">
        <v>213</v>
      </c>
      <c r="D45" s="93">
        <v>3</v>
      </c>
      <c r="E45" s="94">
        <v>10000</v>
      </c>
      <c r="F45" s="95">
        <f t="shared" si="2"/>
        <v>30000</v>
      </c>
      <c r="G45" s="96">
        <v>11628</v>
      </c>
      <c r="H45" s="97">
        <f t="shared" si="3"/>
        <v>34884</v>
      </c>
      <c r="I45" s="95">
        <f t="shared" si="4"/>
        <v>4884</v>
      </c>
      <c r="J45" s="98">
        <f t="shared" si="5"/>
        <v>0.14000687994496044</v>
      </c>
      <c r="K45" s="99">
        <v>0.18</v>
      </c>
      <c r="L45" s="100">
        <f t="shared" si="6"/>
        <v>6279.12</v>
      </c>
      <c r="M45" s="101">
        <f t="shared" si="7"/>
        <v>41163.120000000003</v>
      </c>
      <c r="N45" s="102" t="s">
        <v>90</v>
      </c>
      <c r="O45" s="102" t="s">
        <v>132</v>
      </c>
      <c r="P45" s="103" t="s">
        <v>168</v>
      </c>
      <c r="Q45" s="102" t="s">
        <v>39</v>
      </c>
      <c r="R45" s="57" t="s">
        <v>295</v>
      </c>
      <c r="S45" s="175" t="s">
        <v>312</v>
      </c>
    </row>
    <row r="46" spans="1:19" s="10" customFormat="1" ht="15.75">
      <c r="A46" s="91">
        <v>19</v>
      </c>
      <c r="B46" s="91" t="s">
        <v>214</v>
      </c>
      <c r="C46" s="92" t="s">
        <v>220</v>
      </c>
      <c r="D46" s="93">
        <v>1</v>
      </c>
      <c r="E46" s="94">
        <v>92000</v>
      </c>
      <c r="F46" s="95">
        <f t="shared" si="2"/>
        <v>92000</v>
      </c>
      <c r="G46" s="96">
        <v>106977</v>
      </c>
      <c r="H46" s="97">
        <f t="shared" si="3"/>
        <v>106977</v>
      </c>
      <c r="I46" s="95">
        <f t="shared" si="4"/>
        <v>14977</v>
      </c>
      <c r="J46" s="98">
        <f t="shared" si="5"/>
        <v>0.14000205651682138</v>
      </c>
      <c r="K46" s="99">
        <v>0.18</v>
      </c>
      <c r="L46" s="100">
        <f t="shared" si="6"/>
        <v>19255.86</v>
      </c>
      <c r="M46" s="101">
        <f t="shared" si="7"/>
        <v>126232.86</v>
      </c>
      <c r="N46" s="102" t="s">
        <v>90</v>
      </c>
      <c r="O46" s="102" t="s">
        <v>132</v>
      </c>
      <c r="P46" s="103" t="s">
        <v>168</v>
      </c>
      <c r="Q46" s="102" t="s">
        <v>39</v>
      </c>
      <c r="R46" s="57" t="s">
        <v>296</v>
      </c>
      <c r="S46" s="175" t="s">
        <v>317</v>
      </c>
    </row>
    <row r="47" spans="1:19" s="10" customFormat="1" ht="15.75">
      <c r="A47" s="91">
        <v>20</v>
      </c>
      <c r="B47" s="91" t="s">
        <v>215</v>
      </c>
      <c r="C47" s="92" t="s">
        <v>221</v>
      </c>
      <c r="D47" s="93">
        <v>1</v>
      </c>
      <c r="E47" s="94">
        <v>14000</v>
      </c>
      <c r="F47" s="95">
        <f t="shared" si="2"/>
        <v>14000</v>
      </c>
      <c r="G47" s="96">
        <v>16279</v>
      </c>
      <c r="H47" s="97">
        <f t="shared" si="3"/>
        <v>16279</v>
      </c>
      <c r="I47" s="95">
        <f t="shared" si="4"/>
        <v>2279</v>
      </c>
      <c r="J47" s="98">
        <f t="shared" si="5"/>
        <v>0.13999631426991829</v>
      </c>
      <c r="K47" s="99">
        <v>0.18</v>
      </c>
      <c r="L47" s="100">
        <f t="shared" si="6"/>
        <v>2930.22</v>
      </c>
      <c r="M47" s="101">
        <f t="shared" si="7"/>
        <v>19209.22</v>
      </c>
      <c r="N47" s="102" t="s">
        <v>90</v>
      </c>
      <c r="O47" s="102" t="s">
        <v>132</v>
      </c>
      <c r="P47" s="103" t="s">
        <v>168</v>
      </c>
      <c r="Q47" s="102" t="s">
        <v>39</v>
      </c>
      <c r="R47" s="57" t="s">
        <v>296</v>
      </c>
      <c r="S47" s="175" t="s">
        <v>317</v>
      </c>
    </row>
    <row r="48" spans="1:19" s="10" customFormat="1" ht="31.5">
      <c r="A48" s="91">
        <v>21</v>
      </c>
      <c r="B48" s="91" t="s">
        <v>216</v>
      </c>
      <c r="C48" s="92" t="s">
        <v>222</v>
      </c>
      <c r="D48" s="93">
        <v>1</v>
      </c>
      <c r="E48" s="94">
        <v>38500</v>
      </c>
      <c r="F48" s="95">
        <f t="shared" si="2"/>
        <v>38500</v>
      </c>
      <c r="G48" s="96">
        <v>44767</v>
      </c>
      <c r="H48" s="97">
        <f t="shared" si="3"/>
        <v>44767</v>
      </c>
      <c r="I48" s="95">
        <f t="shared" si="4"/>
        <v>6267</v>
      </c>
      <c r="J48" s="98">
        <f t="shared" si="5"/>
        <v>0.13999151160453013</v>
      </c>
      <c r="K48" s="99">
        <v>0.18</v>
      </c>
      <c r="L48" s="100">
        <f t="shared" si="6"/>
        <v>8058.0599999999995</v>
      </c>
      <c r="M48" s="101">
        <f t="shared" si="7"/>
        <v>52825.06</v>
      </c>
      <c r="N48" s="102" t="s">
        <v>90</v>
      </c>
      <c r="O48" s="102" t="s">
        <v>132</v>
      </c>
      <c r="P48" s="103" t="s">
        <v>168</v>
      </c>
      <c r="Q48" s="102" t="s">
        <v>39</v>
      </c>
      <c r="R48" s="57" t="s">
        <v>296</v>
      </c>
      <c r="S48" s="175" t="s">
        <v>318</v>
      </c>
    </row>
    <row r="49" spans="1:19" s="10" customFormat="1" ht="31.5">
      <c r="A49" s="91">
        <v>22</v>
      </c>
      <c r="B49" s="91" t="s">
        <v>217</v>
      </c>
      <c r="C49" s="92" t="s">
        <v>223</v>
      </c>
      <c r="D49" s="93">
        <v>8</v>
      </c>
      <c r="E49" s="94">
        <v>525</v>
      </c>
      <c r="F49" s="95">
        <f t="shared" si="2"/>
        <v>4200</v>
      </c>
      <c r="G49" s="96">
        <v>610</v>
      </c>
      <c r="H49" s="97">
        <f t="shared" si="3"/>
        <v>4880</v>
      </c>
      <c r="I49" s="95">
        <f t="shared" si="4"/>
        <v>680</v>
      </c>
      <c r="J49" s="98">
        <f t="shared" si="5"/>
        <v>0.13934426229508196</v>
      </c>
      <c r="K49" s="99">
        <v>0.18</v>
      </c>
      <c r="L49" s="100">
        <f t="shared" si="6"/>
        <v>878.4</v>
      </c>
      <c r="M49" s="101">
        <f t="shared" si="7"/>
        <v>5758.4</v>
      </c>
      <c r="N49" s="102" t="s">
        <v>90</v>
      </c>
      <c r="O49" s="102" t="s">
        <v>132</v>
      </c>
      <c r="P49" s="103" t="s">
        <v>168</v>
      </c>
      <c r="Q49" s="102" t="s">
        <v>39</v>
      </c>
      <c r="R49" s="57" t="s">
        <v>296</v>
      </c>
      <c r="S49" s="175" t="s">
        <v>318</v>
      </c>
    </row>
    <row r="50" spans="1:19" s="10" customFormat="1" ht="15.75">
      <c r="A50" s="91">
        <v>23</v>
      </c>
      <c r="B50" s="91" t="s">
        <v>218</v>
      </c>
      <c r="C50" s="92" t="s">
        <v>224</v>
      </c>
      <c r="D50" s="93">
        <v>20</v>
      </c>
      <c r="E50" s="94">
        <v>3450</v>
      </c>
      <c r="F50" s="95">
        <f t="shared" si="2"/>
        <v>69000</v>
      </c>
      <c r="G50" s="96">
        <v>4012</v>
      </c>
      <c r="H50" s="97">
        <f t="shared" si="3"/>
        <v>80240</v>
      </c>
      <c r="I50" s="95">
        <f t="shared" si="4"/>
        <v>11240</v>
      </c>
      <c r="J50" s="98">
        <f t="shared" si="5"/>
        <v>0.14007976071784647</v>
      </c>
      <c r="K50" s="99">
        <v>0.18</v>
      </c>
      <c r="L50" s="100">
        <f t="shared" si="6"/>
        <v>14443.199999999999</v>
      </c>
      <c r="M50" s="101">
        <f t="shared" si="7"/>
        <v>94683.199999999997</v>
      </c>
      <c r="N50" s="102" t="s">
        <v>90</v>
      </c>
      <c r="O50" s="102" t="s">
        <v>132</v>
      </c>
      <c r="P50" s="103" t="s">
        <v>168</v>
      </c>
      <c r="Q50" s="102" t="s">
        <v>39</v>
      </c>
      <c r="R50" s="57" t="s">
        <v>296</v>
      </c>
      <c r="S50" s="175" t="s">
        <v>318</v>
      </c>
    </row>
    <row r="51" spans="1:19" s="10" customFormat="1" ht="31.5">
      <c r="A51" s="91">
        <v>24</v>
      </c>
      <c r="B51" s="91" t="s">
        <v>219</v>
      </c>
      <c r="C51" s="92" t="s">
        <v>225</v>
      </c>
      <c r="D51" s="93">
        <v>800</v>
      </c>
      <c r="E51" s="94">
        <v>46</v>
      </c>
      <c r="F51" s="95">
        <f t="shared" si="2"/>
        <v>36800</v>
      </c>
      <c r="G51" s="96">
        <v>53</v>
      </c>
      <c r="H51" s="97">
        <f t="shared" si="3"/>
        <v>42400</v>
      </c>
      <c r="I51" s="95">
        <f t="shared" si="4"/>
        <v>5600</v>
      </c>
      <c r="J51" s="98">
        <f t="shared" si="5"/>
        <v>0.13207547169811321</v>
      </c>
      <c r="K51" s="99">
        <v>0.18</v>
      </c>
      <c r="L51" s="100">
        <f t="shared" si="6"/>
        <v>7632</v>
      </c>
      <c r="M51" s="101">
        <f t="shared" si="7"/>
        <v>50032</v>
      </c>
      <c r="N51" s="102" t="s">
        <v>90</v>
      </c>
      <c r="O51" s="102" t="s">
        <v>132</v>
      </c>
      <c r="P51" s="103" t="s">
        <v>167</v>
      </c>
      <c r="Q51" s="102" t="s">
        <v>39</v>
      </c>
      <c r="R51" s="57" t="s">
        <v>290</v>
      </c>
      <c r="S51" s="175" t="s">
        <v>312</v>
      </c>
    </row>
    <row r="52" spans="1:19" s="10" customFormat="1" ht="15.75">
      <c r="A52" s="91">
        <v>25</v>
      </c>
      <c r="B52" s="91" t="s">
        <v>226</v>
      </c>
      <c r="C52" s="92" t="s">
        <v>237</v>
      </c>
      <c r="D52" s="93">
        <v>36</v>
      </c>
      <c r="E52" s="94">
        <v>9200</v>
      </c>
      <c r="F52" s="95">
        <f t="shared" si="2"/>
        <v>331200</v>
      </c>
      <c r="G52" s="96">
        <v>10698</v>
      </c>
      <c r="H52" s="97">
        <f t="shared" si="3"/>
        <v>385128</v>
      </c>
      <c r="I52" s="95">
        <f t="shared" si="4"/>
        <v>53928</v>
      </c>
      <c r="J52" s="98">
        <f t="shared" si="5"/>
        <v>0.14002617311647036</v>
      </c>
      <c r="K52" s="99">
        <v>0.18</v>
      </c>
      <c r="L52" s="100">
        <f t="shared" si="6"/>
        <v>69323.039999999994</v>
      </c>
      <c r="M52" s="101">
        <f t="shared" si="7"/>
        <v>454451.04</v>
      </c>
      <c r="N52" s="102" t="s">
        <v>90</v>
      </c>
      <c r="O52" s="102" t="s">
        <v>132</v>
      </c>
      <c r="P52" s="103" t="s">
        <v>167</v>
      </c>
      <c r="Q52" s="102" t="s">
        <v>39</v>
      </c>
      <c r="R52" s="57" t="s">
        <v>297</v>
      </c>
      <c r="S52" s="175" t="s">
        <v>312</v>
      </c>
    </row>
    <row r="53" spans="1:19" s="10" customFormat="1" ht="15.75">
      <c r="A53" s="91">
        <v>26</v>
      </c>
      <c r="B53" s="91" t="s">
        <v>227</v>
      </c>
      <c r="C53" s="92" t="s">
        <v>238</v>
      </c>
      <c r="D53" s="93">
        <v>100</v>
      </c>
      <c r="E53" s="94">
        <v>165</v>
      </c>
      <c r="F53" s="95">
        <f t="shared" si="2"/>
        <v>16500</v>
      </c>
      <c r="G53" s="96">
        <v>192</v>
      </c>
      <c r="H53" s="97">
        <f t="shared" si="3"/>
        <v>19200</v>
      </c>
      <c r="I53" s="95">
        <f t="shared" si="4"/>
        <v>2700</v>
      </c>
      <c r="J53" s="98">
        <f t="shared" si="5"/>
        <v>0.140625</v>
      </c>
      <c r="K53" s="99">
        <v>0.18</v>
      </c>
      <c r="L53" s="100">
        <f t="shared" si="6"/>
        <v>3456</v>
      </c>
      <c r="M53" s="101">
        <f t="shared" si="7"/>
        <v>22656</v>
      </c>
      <c r="N53" s="102" t="s">
        <v>90</v>
      </c>
      <c r="O53" s="102" t="s">
        <v>132</v>
      </c>
      <c r="P53" s="103" t="s">
        <v>167</v>
      </c>
      <c r="Q53" s="102" t="s">
        <v>39</v>
      </c>
      <c r="R53" s="57" t="s">
        <v>297</v>
      </c>
      <c r="S53" s="175" t="s">
        <v>312</v>
      </c>
    </row>
    <row r="54" spans="1:19" s="10" customFormat="1" ht="15.75">
      <c r="A54" s="91">
        <v>27</v>
      </c>
      <c r="B54" s="91" t="s">
        <v>228</v>
      </c>
      <c r="C54" s="92" t="s">
        <v>239</v>
      </c>
      <c r="D54" s="93">
        <v>7</v>
      </c>
      <c r="E54" s="94">
        <v>4350</v>
      </c>
      <c r="F54" s="95">
        <f t="shared" si="2"/>
        <v>30450</v>
      </c>
      <c r="G54" s="96">
        <v>5058</v>
      </c>
      <c r="H54" s="97">
        <f t="shared" si="3"/>
        <v>35406</v>
      </c>
      <c r="I54" s="95">
        <f t="shared" si="4"/>
        <v>4956</v>
      </c>
      <c r="J54" s="98">
        <f t="shared" si="5"/>
        <v>0.13997627520759193</v>
      </c>
      <c r="K54" s="99">
        <v>0.18</v>
      </c>
      <c r="L54" s="100">
        <f t="shared" si="6"/>
        <v>6373.08</v>
      </c>
      <c r="M54" s="101">
        <f t="shared" si="7"/>
        <v>41779.08</v>
      </c>
      <c r="N54" s="102" t="s">
        <v>90</v>
      </c>
      <c r="O54" s="102" t="s">
        <v>132</v>
      </c>
      <c r="P54" s="103" t="s">
        <v>167</v>
      </c>
      <c r="Q54" s="102" t="s">
        <v>39</v>
      </c>
      <c r="R54" s="57" t="s">
        <v>297</v>
      </c>
      <c r="S54" s="175" t="s">
        <v>312</v>
      </c>
    </row>
    <row r="55" spans="1:19" s="10" customFormat="1" ht="15.75">
      <c r="A55" s="91">
        <v>28</v>
      </c>
      <c r="B55" s="91" t="s">
        <v>229</v>
      </c>
      <c r="C55" s="92" t="s">
        <v>240</v>
      </c>
      <c r="D55" s="93">
        <v>110</v>
      </c>
      <c r="E55" s="94">
        <v>165</v>
      </c>
      <c r="F55" s="95">
        <f t="shared" si="2"/>
        <v>18150</v>
      </c>
      <c r="G55" s="96">
        <v>192</v>
      </c>
      <c r="H55" s="97">
        <f t="shared" si="3"/>
        <v>21120</v>
      </c>
      <c r="I55" s="95">
        <f t="shared" si="4"/>
        <v>2970</v>
      </c>
      <c r="J55" s="98">
        <f t="shared" si="5"/>
        <v>0.140625</v>
      </c>
      <c r="K55" s="99">
        <v>0.18</v>
      </c>
      <c r="L55" s="100">
        <f t="shared" si="6"/>
        <v>3801.6</v>
      </c>
      <c r="M55" s="101">
        <f t="shared" si="7"/>
        <v>24921.599999999999</v>
      </c>
      <c r="N55" s="102" t="s">
        <v>90</v>
      </c>
      <c r="O55" s="102" t="s">
        <v>132</v>
      </c>
      <c r="P55" s="103" t="s">
        <v>167</v>
      </c>
      <c r="Q55" s="102" t="s">
        <v>39</v>
      </c>
      <c r="R55" s="57" t="s">
        <v>297</v>
      </c>
      <c r="S55" s="175" t="s">
        <v>312</v>
      </c>
    </row>
    <row r="56" spans="1:19" s="10" customFormat="1" ht="15.75">
      <c r="A56" s="91">
        <v>29</v>
      </c>
      <c r="B56" s="91" t="s">
        <v>230</v>
      </c>
      <c r="C56" s="92" t="s">
        <v>241</v>
      </c>
      <c r="D56" s="93">
        <v>160</v>
      </c>
      <c r="E56" s="94">
        <v>140</v>
      </c>
      <c r="F56" s="95">
        <f t="shared" si="2"/>
        <v>22400</v>
      </c>
      <c r="G56" s="96">
        <v>163</v>
      </c>
      <c r="H56" s="97">
        <f t="shared" si="3"/>
        <v>26080</v>
      </c>
      <c r="I56" s="95">
        <f t="shared" si="4"/>
        <v>3680</v>
      </c>
      <c r="J56" s="98">
        <f t="shared" si="5"/>
        <v>0.1411042944785276</v>
      </c>
      <c r="K56" s="99">
        <v>0.18</v>
      </c>
      <c r="L56" s="100">
        <f t="shared" si="6"/>
        <v>4694.3999999999996</v>
      </c>
      <c r="M56" s="101">
        <f t="shared" si="7"/>
        <v>30774.400000000001</v>
      </c>
      <c r="N56" s="102" t="s">
        <v>90</v>
      </c>
      <c r="O56" s="102" t="s">
        <v>132</v>
      </c>
      <c r="P56" s="103" t="s">
        <v>167</v>
      </c>
      <c r="Q56" s="102" t="s">
        <v>39</v>
      </c>
      <c r="R56" s="57" t="s">
        <v>297</v>
      </c>
      <c r="S56" s="175" t="s">
        <v>312</v>
      </c>
    </row>
    <row r="57" spans="1:19" s="10" customFormat="1" ht="15.75">
      <c r="A57" s="91">
        <v>30</v>
      </c>
      <c r="B57" s="91" t="s">
        <v>231</v>
      </c>
      <c r="C57" s="92" t="s">
        <v>242</v>
      </c>
      <c r="D57" s="93">
        <v>100</v>
      </c>
      <c r="E57" s="94">
        <v>55</v>
      </c>
      <c r="F57" s="95">
        <f t="shared" si="2"/>
        <v>5500</v>
      </c>
      <c r="G57" s="96">
        <v>64</v>
      </c>
      <c r="H57" s="97">
        <f t="shared" si="3"/>
        <v>6400</v>
      </c>
      <c r="I57" s="95">
        <f t="shared" si="4"/>
        <v>900</v>
      </c>
      <c r="J57" s="98">
        <f t="shared" si="5"/>
        <v>0.140625</v>
      </c>
      <c r="K57" s="99">
        <v>0.18</v>
      </c>
      <c r="L57" s="100">
        <f t="shared" si="6"/>
        <v>1152</v>
      </c>
      <c r="M57" s="101">
        <f t="shared" si="7"/>
        <v>7552</v>
      </c>
      <c r="N57" s="102" t="s">
        <v>90</v>
      </c>
      <c r="O57" s="102" t="s">
        <v>132</v>
      </c>
      <c r="P57" s="103" t="s">
        <v>167</v>
      </c>
      <c r="Q57" s="102" t="s">
        <v>39</v>
      </c>
      <c r="R57" s="57" t="s">
        <v>297</v>
      </c>
      <c r="S57" s="175" t="s">
        <v>312</v>
      </c>
    </row>
    <row r="58" spans="1:19" s="10" customFormat="1" ht="15.75">
      <c r="A58" s="91">
        <v>31</v>
      </c>
      <c r="B58" s="91" t="s">
        <v>232</v>
      </c>
      <c r="C58" s="92" t="s">
        <v>243</v>
      </c>
      <c r="D58" s="93">
        <v>100</v>
      </c>
      <c r="E58" s="94">
        <v>40</v>
      </c>
      <c r="F58" s="95">
        <f t="shared" si="2"/>
        <v>4000</v>
      </c>
      <c r="G58" s="96">
        <v>58</v>
      </c>
      <c r="H58" s="97">
        <f t="shared" si="3"/>
        <v>5800</v>
      </c>
      <c r="I58" s="95">
        <f t="shared" si="4"/>
        <v>1800</v>
      </c>
      <c r="J58" s="98">
        <f t="shared" si="5"/>
        <v>0.31034482758620691</v>
      </c>
      <c r="K58" s="99">
        <v>0.18</v>
      </c>
      <c r="L58" s="100">
        <f t="shared" si="6"/>
        <v>1044</v>
      </c>
      <c r="M58" s="101">
        <f t="shared" si="7"/>
        <v>6844</v>
      </c>
      <c r="N58" s="102" t="s">
        <v>90</v>
      </c>
      <c r="O58" s="102" t="s">
        <v>132</v>
      </c>
      <c r="P58" s="103" t="s">
        <v>168</v>
      </c>
      <c r="Q58" s="102" t="s">
        <v>39</v>
      </c>
      <c r="R58" s="57" t="s">
        <v>290</v>
      </c>
      <c r="S58" s="175" t="s">
        <v>312</v>
      </c>
    </row>
    <row r="59" spans="1:19" s="10" customFormat="1" ht="15.75">
      <c r="A59" s="91">
        <v>32</v>
      </c>
      <c r="B59" s="91" t="s">
        <v>233</v>
      </c>
      <c r="C59" s="92" t="s">
        <v>244</v>
      </c>
      <c r="D59" s="93">
        <v>3</v>
      </c>
      <c r="E59" s="94">
        <v>935</v>
      </c>
      <c r="F59" s="95">
        <f t="shared" si="2"/>
        <v>2805</v>
      </c>
      <c r="G59" s="96">
        <v>1087</v>
      </c>
      <c r="H59" s="97">
        <f t="shared" si="3"/>
        <v>3261</v>
      </c>
      <c r="I59" s="95">
        <f t="shared" si="4"/>
        <v>456</v>
      </c>
      <c r="J59" s="98">
        <f t="shared" si="5"/>
        <v>0.13983440662373506</v>
      </c>
      <c r="K59" s="99">
        <v>0.18</v>
      </c>
      <c r="L59" s="100">
        <f t="shared" si="6"/>
        <v>586.98</v>
      </c>
      <c r="M59" s="101">
        <f t="shared" si="7"/>
        <v>3847.98</v>
      </c>
      <c r="N59" s="102" t="s">
        <v>90</v>
      </c>
      <c r="O59" s="102" t="s">
        <v>132</v>
      </c>
      <c r="P59" s="103" t="s">
        <v>167</v>
      </c>
      <c r="Q59" s="102" t="s">
        <v>39</v>
      </c>
      <c r="R59" s="57" t="s">
        <v>290</v>
      </c>
      <c r="S59" s="175" t="s">
        <v>312</v>
      </c>
    </row>
    <row r="60" spans="1:19" s="10" customFormat="1" ht="15.75">
      <c r="A60" s="91">
        <v>33</v>
      </c>
      <c r="B60" s="91" t="s">
        <v>234</v>
      </c>
      <c r="C60" s="92" t="s">
        <v>245</v>
      </c>
      <c r="D60" s="93">
        <v>1950</v>
      </c>
      <c r="E60" s="94">
        <v>31</v>
      </c>
      <c r="F60" s="95">
        <f t="shared" si="2"/>
        <v>60450</v>
      </c>
      <c r="G60" s="96">
        <v>52</v>
      </c>
      <c r="H60" s="97">
        <f t="shared" si="3"/>
        <v>101400</v>
      </c>
      <c r="I60" s="95">
        <f t="shared" si="4"/>
        <v>40950</v>
      </c>
      <c r="J60" s="98">
        <f t="shared" si="5"/>
        <v>0.40384615384615385</v>
      </c>
      <c r="K60" s="99">
        <v>0.18</v>
      </c>
      <c r="L60" s="100">
        <f t="shared" si="6"/>
        <v>18252</v>
      </c>
      <c r="M60" s="101">
        <f t="shared" si="7"/>
        <v>119652</v>
      </c>
      <c r="N60" s="102" t="s">
        <v>90</v>
      </c>
      <c r="O60" s="102" t="s">
        <v>132</v>
      </c>
      <c r="P60" s="103" t="s">
        <v>167</v>
      </c>
      <c r="Q60" s="102" t="s">
        <v>39</v>
      </c>
      <c r="R60" s="57" t="s">
        <v>290</v>
      </c>
      <c r="S60" s="175" t="s">
        <v>312</v>
      </c>
    </row>
    <row r="61" spans="1:19" s="10" customFormat="1" ht="15.75">
      <c r="A61" s="91">
        <v>34</v>
      </c>
      <c r="B61" s="91" t="s">
        <v>235</v>
      </c>
      <c r="C61" s="92" t="s">
        <v>246</v>
      </c>
      <c r="D61" s="93">
        <v>5</v>
      </c>
      <c r="E61" s="94">
        <v>1900</v>
      </c>
      <c r="F61" s="95">
        <f t="shared" si="2"/>
        <v>9500</v>
      </c>
      <c r="G61" s="96">
        <v>2209</v>
      </c>
      <c r="H61" s="97">
        <f t="shared" si="3"/>
        <v>11045</v>
      </c>
      <c r="I61" s="95">
        <f t="shared" si="4"/>
        <v>1545</v>
      </c>
      <c r="J61" s="98">
        <f t="shared" si="5"/>
        <v>0.13988229968311452</v>
      </c>
      <c r="K61" s="99">
        <v>0.18</v>
      </c>
      <c r="L61" s="100">
        <f t="shared" si="6"/>
        <v>1988.1</v>
      </c>
      <c r="M61" s="101">
        <f t="shared" si="7"/>
        <v>13033.1</v>
      </c>
      <c r="N61" s="102" t="s">
        <v>90</v>
      </c>
      <c r="O61" s="102" t="s">
        <v>132</v>
      </c>
      <c r="P61" s="103" t="s">
        <v>167</v>
      </c>
      <c r="Q61" s="102" t="s">
        <v>39</v>
      </c>
      <c r="R61" s="57" t="s">
        <v>290</v>
      </c>
      <c r="S61" s="175" t="s">
        <v>312</v>
      </c>
    </row>
    <row r="62" spans="1:19" s="10" customFormat="1" ht="15.75">
      <c r="A62" s="91">
        <v>35</v>
      </c>
      <c r="B62" s="91" t="s">
        <v>236</v>
      </c>
      <c r="C62" s="92" t="s">
        <v>247</v>
      </c>
      <c r="D62" s="93">
        <v>5</v>
      </c>
      <c r="E62" s="94">
        <v>190</v>
      </c>
      <c r="F62" s="95">
        <f t="shared" si="2"/>
        <v>950</v>
      </c>
      <c r="G62" s="96">
        <v>221</v>
      </c>
      <c r="H62" s="97">
        <f t="shared" si="3"/>
        <v>1105</v>
      </c>
      <c r="I62" s="95">
        <f t="shared" si="4"/>
        <v>155</v>
      </c>
      <c r="J62" s="98">
        <f t="shared" si="5"/>
        <v>0.14027149321266968</v>
      </c>
      <c r="K62" s="99">
        <v>0.18</v>
      </c>
      <c r="L62" s="100">
        <f t="shared" si="6"/>
        <v>198.9</v>
      </c>
      <c r="M62" s="101">
        <f t="shared" si="7"/>
        <v>1303.9000000000001</v>
      </c>
      <c r="N62" s="102" t="s">
        <v>90</v>
      </c>
      <c r="O62" s="102" t="s">
        <v>132</v>
      </c>
      <c r="P62" s="103" t="s">
        <v>167</v>
      </c>
      <c r="Q62" s="102" t="s">
        <v>39</v>
      </c>
      <c r="R62" s="57" t="s">
        <v>290</v>
      </c>
      <c r="S62" s="175" t="s">
        <v>312</v>
      </c>
    </row>
    <row r="63" spans="1:19" s="10" customFormat="1" ht="31.5">
      <c r="A63" s="91">
        <v>36</v>
      </c>
      <c r="B63" s="91" t="s">
        <v>248</v>
      </c>
      <c r="C63" s="92" t="s">
        <v>251</v>
      </c>
      <c r="D63" s="93">
        <v>1</v>
      </c>
      <c r="E63" s="94">
        <v>49500</v>
      </c>
      <c r="F63" s="95">
        <f t="shared" si="2"/>
        <v>49500</v>
      </c>
      <c r="G63" s="96">
        <v>57558</v>
      </c>
      <c r="H63" s="97">
        <f t="shared" si="3"/>
        <v>57558</v>
      </c>
      <c r="I63" s="95">
        <f t="shared" si="4"/>
        <v>8058</v>
      </c>
      <c r="J63" s="98">
        <f t="shared" si="5"/>
        <v>0.13999791514646096</v>
      </c>
      <c r="K63" s="99">
        <v>0.18</v>
      </c>
      <c r="L63" s="100">
        <f t="shared" si="6"/>
        <v>10360.44</v>
      </c>
      <c r="M63" s="101">
        <f t="shared" si="7"/>
        <v>67918.44</v>
      </c>
      <c r="N63" s="102" t="s">
        <v>90</v>
      </c>
      <c r="O63" s="102" t="s">
        <v>132</v>
      </c>
      <c r="P63" s="103" t="s">
        <v>167</v>
      </c>
      <c r="Q63" s="102" t="s">
        <v>39</v>
      </c>
      <c r="R63" s="57" t="s">
        <v>298</v>
      </c>
      <c r="S63" s="175" t="s">
        <v>319</v>
      </c>
    </row>
    <row r="64" spans="1:19" s="10" customFormat="1" ht="31.5">
      <c r="A64" s="91">
        <v>37</v>
      </c>
      <c r="B64" s="91" t="s">
        <v>249</v>
      </c>
      <c r="C64" s="92" t="s">
        <v>252</v>
      </c>
      <c r="D64" s="93">
        <v>3</v>
      </c>
      <c r="E64" s="94">
        <v>9550</v>
      </c>
      <c r="F64" s="95">
        <f t="shared" si="2"/>
        <v>28650</v>
      </c>
      <c r="G64" s="96">
        <v>11105</v>
      </c>
      <c r="H64" s="97">
        <f t="shared" si="3"/>
        <v>33315</v>
      </c>
      <c r="I64" s="95">
        <f t="shared" si="4"/>
        <v>4665</v>
      </c>
      <c r="J64" s="98">
        <f t="shared" si="5"/>
        <v>0.14002701485817198</v>
      </c>
      <c r="K64" s="99">
        <v>0.18</v>
      </c>
      <c r="L64" s="100">
        <f t="shared" si="6"/>
        <v>5996.7</v>
      </c>
      <c r="M64" s="101">
        <f t="shared" si="7"/>
        <v>39311.699999999997</v>
      </c>
      <c r="N64" s="102" t="s">
        <v>90</v>
      </c>
      <c r="O64" s="102" t="s">
        <v>132</v>
      </c>
      <c r="P64" s="103" t="s">
        <v>167</v>
      </c>
      <c r="Q64" s="102" t="s">
        <v>39</v>
      </c>
      <c r="R64" s="57" t="s">
        <v>298</v>
      </c>
      <c r="S64" s="175" t="s">
        <v>319</v>
      </c>
    </row>
    <row r="65" spans="1:26" s="10" customFormat="1" ht="15.75">
      <c r="A65" s="91">
        <v>38</v>
      </c>
      <c r="B65" s="91" t="s">
        <v>250</v>
      </c>
      <c r="C65" s="92" t="s">
        <v>253</v>
      </c>
      <c r="D65" s="93">
        <v>7</v>
      </c>
      <c r="E65" s="94">
        <v>375</v>
      </c>
      <c r="F65" s="95">
        <f t="shared" si="2"/>
        <v>2625</v>
      </c>
      <c r="G65" s="96">
        <v>436</v>
      </c>
      <c r="H65" s="97">
        <f t="shared" si="3"/>
        <v>3052</v>
      </c>
      <c r="I65" s="95">
        <f t="shared" si="4"/>
        <v>427</v>
      </c>
      <c r="J65" s="98">
        <f t="shared" si="5"/>
        <v>0.13990825688073394</v>
      </c>
      <c r="K65" s="99">
        <v>0.18</v>
      </c>
      <c r="L65" s="100">
        <f t="shared" si="6"/>
        <v>549.36</v>
      </c>
      <c r="M65" s="101">
        <f t="shared" si="7"/>
        <v>3601.36</v>
      </c>
      <c r="N65" s="102" t="s">
        <v>90</v>
      </c>
      <c r="O65" s="102" t="s">
        <v>132</v>
      </c>
      <c r="P65" s="103" t="s">
        <v>167</v>
      </c>
      <c r="Q65" s="102" t="s">
        <v>39</v>
      </c>
      <c r="R65" s="57" t="s">
        <v>298</v>
      </c>
      <c r="S65" s="175" t="s">
        <v>312</v>
      </c>
    </row>
    <row r="66" spans="1:26" s="10" customFormat="1" ht="31.5">
      <c r="A66" s="91">
        <v>39</v>
      </c>
      <c r="B66" s="91" t="s">
        <v>254</v>
      </c>
      <c r="C66" s="92" t="s">
        <v>260</v>
      </c>
      <c r="D66" s="93">
        <v>1</v>
      </c>
      <c r="E66" s="94">
        <v>9000</v>
      </c>
      <c r="F66" s="95">
        <f t="shared" si="2"/>
        <v>9000</v>
      </c>
      <c r="G66" s="96">
        <v>10465</v>
      </c>
      <c r="H66" s="97">
        <f t="shared" si="3"/>
        <v>10465</v>
      </c>
      <c r="I66" s="95">
        <f t="shared" si="4"/>
        <v>1465</v>
      </c>
      <c r="J66" s="98">
        <f t="shared" si="5"/>
        <v>0.13999044433827043</v>
      </c>
      <c r="K66" s="99">
        <v>0.18</v>
      </c>
      <c r="L66" s="100">
        <f t="shared" si="6"/>
        <v>1883.6999999999998</v>
      </c>
      <c r="M66" s="101">
        <f t="shared" si="7"/>
        <v>12348.7</v>
      </c>
      <c r="N66" s="102" t="s">
        <v>90</v>
      </c>
      <c r="O66" s="102" t="s">
        <v>132</v>
      </c>
      <c r="P66" s="103" t="s">
        <v>168</v>
      </c>
      <c r="Q66" s="102" t="s">
        <v>39</v>
      </c>
      <c r="R66" s="57" t="s">
        <v>299</v>
      </c>
      <c r="S66" s="175" t="s">
        <v>320</v>
      </c>
    </row>
    <row r="67" spans="1:26" s="10" customFormat="1" ht="31.5">
      <c r="A67" s="91">
        <v>40</v>
      </c>
      <c r="B67" s="91" t="s">
        <v>255</v>
      </c>
      <c r="C67" s="92" t="s">
        <v>261</v>
      </c>
      <c r="D67" s="93">
        <v>10</v>
      </c>
      <c r="E67" s="94">
        <v>1100</v>
      </c>
      <c r="F67" s="95">
        <f t="shared" si="2"/>
        <v>11000</v>
      </c>
      <c r="G67" s="96">
        <v>1279</v>
      </c>
      <c r="H67" s="97">
        <f t="shared" si="3"/>
        <v>12790</v>
      </c>
      <c r="I67" s="95">
        <f t="shared" si="4"/>
        <v>1790</v>
      </c>
      <c r="J67" s="98">
        <f t="shared" si="5"/>
        <v>0.13995308835027365</v>
      </c>
      <c r="K67" s="99">
        <v>0.18</v>
      </c>
      <c r="L67" s="100">
        <f t="shared" si="6"/>
        <v>2302.1999999999998</v>
      </c>
      <c r="M67" s="101">
        <f t="shared" si="7"/>
        <v>15092.2</v>
      </c>
      <c r="N67" s="102" t="s">
        <v>90</v>
      </c>
      <c r="O67" s="102" t="s">
        <v>132</v>
      </c>
      <c r="P67" s="103" t="s">
        <v>168</v>
      </c>
      <c r="Q67" s="102" t="s">
        <v>39</v>
      </c>
      <c r="R67" s="57" t="s">
        <v>299</v>
      </c>
      <c r="S67" s="175" t="s">
        <v>321</v>
      </c>
    </row>
    <row r="68" spans="1:26" s="10" customFormat="1" ht="15.75">
      <c r="A68" s="91">
        <v>41</v>
      </c>
      <c r="B68" s="91" t="s">
        <v>256</v>
      </c>
      <c r="C68" s="92" t="s">
        <v>262</v>
      </c>
      <c r="D68" s="93">
        <v>1</v>
      </c>
      <c r="E68" s="94">
        <v>1500</v>
      </c>
      <c r="F68" s="95">
        <f t="shared" si="2"/>
        <v>1500</v>
      </c>
      <c r="G68" s="96">
        <v>1744</v>
      </c>
      <c r="H68" s="97">
        <f t="shared" si="3"/>
        <v>1744</v>
      </c>
      <c r="I68" s="95">
        <f t="shared" si="4"/>
        <v>244</v>
      </c>
      <c r="J68" s="98">
        <f t="shared" si="5"/>
        <v>0.13990825688073394</v>
      </c>
      <c r="K68" s="99">
        <v>0.18</v>
      </c>
      <c r="L68" s="100">
        <f t="shared" si="6"/>
        <v>313.92</v>
      </c>
      <c r="M68" s="101">
        <f t="shared" si="7"/>
        <v>2057.92</v>
      </c>
      <c r="N68" s="102" t="s">
        <v>90</v>
      </c>
      <c r="O68" s="102" t="s">
        <v>132</v>
      </c>
      <c r="P68" s="103" t="s">
        <v>168</v>
      </c>
      <c r="Q68" s="102" t="s">
        <v>39</v>
      </c>
      <c r="R68" s="57" t="s">
        <v>299</v>
      </c>
      <c r="S68" s="175" t="s">
        <v>312</v>
      </c>
    </row>
    <row r="69" spans="1:26" s="10" customFormat="1" ht="31.5">
      <c r="A69" s="91">
        <v>42</v>
      </c>
      <c r="B69" s="91" t="s">
        <v>257</v>
      </c>
      <c r="C69" s="92" t="s">
        <v>263</v>
      </c>
      <c r="D69" s="93">
        <v>1</v>
      </c>
      <c r="E69" s="94">
        <v>2300</v>
      </c>
      <c r="F69" s="95">
        <f t="shared" si="2"/>
        <v>2300</v>
      </c>
      <c r="G69" s="96">
        <v>2674</v>
      </c>
      <c r="H69" s="97">
        <f t="shared" si="3"/>
        <v>2674</v>
      </c>
      <c r="I69" s="95">
        <f t="shared" si="4"/>
        <v>374</v>
      </c>
      <c r="J69" s="98">
        <f t="shared" si="5"/>
        <v>0.13986537023186238</v>
      </c>
      <c r="K69" s="99">
        <v>0.18</v>
      </c>
      <c r="L69" s="100">
        <f t="shared" si="6"/>
        <v>481.32</v>
      </c>
      <c r="M69" s="101">
        <f t="shared" si="7"/>
        <v>3155.32</v>
      </c>
      <c r="N69" s="102" t="s">
        <v>90</v>
      </c>
      <c r="O69" s="102" t="s">
        <v>132</v>
      </c>
      <c r="P69" s="103" t="s">
        <v>168</v>
      </c>
      <c r="Q69" s="102" t="s">
        <v>39</v>
      </c>
      <c r="R69" s="57" t="s">
        <v>299</v>
      </c>
      <c r="S69" s="175" t="s">
        <v>312</v>
      </c>
    </row>
    <row r="70" spans="1:26" s="10" customFormat="1" ht="31.5">
      <c r="A70" s="91">
        <v>43</v>
      </c>
      <c r="B70" s="91" t="s">
        <v>258</v>
      </c>
      <c r="C70" s="92" t="s">
        <v>264</v>
      </c>
      <c r="D70" s="93">
        <v>90</v>
      </c>
      <c r="E70" s="94">
        <v>75</v>
      </c>
      <c r="F70" s="95">
        <f t="shared" si="2"/>
        <v>6750</v>
      </c>
      <c r="G70" s="96">
        <v>87</v>
      </c>
      <c r="H70" s="97">
        <f t="shared" si="3"/>
        <v>7830</v>
      </c>
      <c r="I70" s="95">
        <f t="shared" si="4"/>
        <v>1080</v>
      </c>
      <c r="J70" s="98">
        <f t="shared" si="5"/>
        <v>0.13793103448275862</v>
      </c>
      <c r="K70" s="99">
        <v>0.18</v>
      </c>
      <c r="L70" s="100">
        <f t="shared" si="6"/>
        <v>1409.3999999999999</v>
      </c>
      <c r="M70" s="101">
        <f t="shared" si="7"/>
        <v>9239.4</v>
      </c>
      <c r="N70" s="102" t="s">
        <v>90</v>
      </c>
      <c r="O70" s="102" t="s">
        <v>132</v>
      </c>
      <c r="P70" s="103" t="s">
        <v>168</v>
      </c>
      <c r="Q70" s="102" t="s">
        <v>39</v>
      </c>
      <c r="R70" s="57" t="s">
        <v>291</v>
      </c>
      <c r="S70" s="175" t="s">
        <v>312</v>
      </c>
    </row>
    <row r="71" spans="1:26" s="10" customFormat="1" ht="15.75">
      <c r="A71" s="91">
        <v>44</v>
      </c>
      <c r="B71" s="91" t="s">
        <v>259</v>
      </c>
      <c r="C71" s="92" t="s">
        <v>265</v>
      </c>
      <c r="D71" s="93">
        <v>6</v>
      </c>
      <c r="E71" s="94">
        <v>150</v>
      </c>
      <c r="F71" s="95">
        <f t="shared" si="2"/>
        <v>900</v>
      </c>
      <c r="G71" s="96">
        <v>174</v>
      </c>
      <c r="H71" s="97">
        <f t="shared" si="3"/>
        <v>1044</v>
      </c>
      <c r="I71" s="95">
        <f t="shared" si="4"/>
        <v>144</v>
      </c>
      <c r="J71" s="98">
        <f t="shared" si="5"/>
        <v>0.13793103448275862</v>
      </c>
      <c r="K71" s="99">
        <v>0.18</v>
      </c>
      <c r="L71" s="100">
        <f t="shared" si="6"/>
        <v>187.92</v>
      </c>
      <c r="M71" s="101">
        <f t="shared" si="7"/>
        <v>1231.92</v>
      </c>
      <c r="N71" s="102" t="s">
        <v>90</v>
      </c>
      <c r="O71" s="102" t="s">
        <v>132</v>
      </c>
      <c r="P71" s="103" t="s">
        <v>168</v>
      </c>
      <c r="Q71" s="102" t="s">
        <v>39</v>
      </c>
      <c r="R71" s="57" t="s">
        <v>299</v>
      </c>
      <c r="S71" s="175" t="s">
        <v>312</v>
      </c>
    </row>
    <row r="72" spans="1:26" s="10" customFormat="1" ht="31.5">
      <c r="A72" s="91">
        <v>45</v>
      </c>
      <c r="B72" s="91" t="s">
        <v>266</v>
      </c>
      <c r="C72" s="92" t="s">
        <v>268</v>
      </c>
      <c r="D72" s="93">
        <v>1</v>
      </c>
      <c r="E72" s="94">
        <v>99100</v>
      </c>
      <c r="F72" s="95">
        <f t="shared" si="2"/>
        <v>99100</v>
      </c>
      <c r="G72" s="96">
        <v>115233</v>
      </c>
      <c r="H72" s="97">
        <f t="shared" si="3"/>
        <v>115233</v>
      </c>
      <c r="I72" s="95">
        <f t="shared" si="4"/>
        <v>16133</v>
      </c>
      <c r="J72" s="98">
        <f t="shared" si="5"/>
        <v>0.14000329766646707</v>
      </c>
      <c r="K72" s="99">
        <v>0.18</v>
      </c>
      <c r="L72" s="100">
        <f t="shared" si="6"/>
        <v>20741.939999999999</v>
      </c>
      <c r="M72" s="101">
        <f t="shared" si="7"/>
        <v>135974.94</v>
      </c>
      <c r="N72" s="102" t="s">
        <v>90</v>
      </c>
      <c r="O72" s="102" t="s">
        <v>132</v>
      </c>
      <c r="P72" s="103" t="s">
        <v>168</v>
      </c>
      <c r="Q72" s="102" t="s">
        <v>39</v>
      </c>
      <c r="R72" s="57" t="s">
        <v>300</v>
      </c>
      <c r="S72" s="175" t="s">
        <v>322</v>
      </c>
    </row>
    <row r="73" spans="1:26" s="10" customFormat="1" ht="47.25">
      <c r="A73" s="91">
        <v>46</v>
      </c>
      <c r="B73" s="91" t="s">
        <v>267</v>
      </c>
      <c r="C73" s="92" t="s">
        <v>269</v>
      </c>
      <c r="D73" s="93">
        <v>1</v>
      </c>
      <c r="E73" s="94">
        <v>41200</v>
      </c>
      <c r="F73" s="95">
        <f t="shared" si="2"/>
        <v>41200</v>
      </c>
      <c r="G73" s="96">
        <v>47907</v>
      </c>
      <c r="H73" s="97">
        <f t="shared" si="3"/>
        <v>47907</v>
      </c>
      <c r="I73" s="95">
        <f t="shared" si="4"/>
        <v>6707</v>
      </c>
      <c r="J73" s="98">
        <f t="shared" si="5"/>
        <v>0.1400004174755255</v>
      </c>
      <c r="K73" s="99">
        <v>0.18</v>
      </c>
      <c r="L73" s="100">
        <f t="shared" si="6"/>
        <v>8623.26</v>
      </c>
      <c r="M73" s="101">
        <f t="shared" si="7"/>
        <v>56530.26</v>
      </c>
      <c r="N73" s="102" t="s">
        <v>90</v>
      </c>
      <c r="O73" s="102" t="s">
        <v>132</v>
      </c>
      <c r="P73" s="103" t="s">
        <v>168</v>
      </c>
      <c r="Q73" s="102" t="s">
        <v>39</v>
      </c>
      <c r="R73" s="57" t="s">
        <v>301</v>
      </c>
      <c r="S73" s="175" t="s">
        <v>320</v>
      </c>
    </row>
    <row r="74" spans="1:26" s="10" customFormat="1" ht="15.75">
      <c r="A74" s="91">
        <v>47</v>
      </c>
      <c r="B74" s="91" t="s">
        <v>270</v>
      </c>
      <c r="C74" s="141" t="s">
        <v>274</v>
      </c>
      <c r="D74" s="93">
        <v>250</v>
      </c>
      <c r="E74" s="94">
        <v>458</v>
      </c>
      <c r="F74" s="95">
        <f t="shared" si="2"/>
        <v>114500</v>
      </c>
      <c r="G74" s="96">
        <v>533</v>
      </c>
      <c r="H74" s="97">
        <f t="shared" si="3"/>
        <v>133250</v>
      </c>
      <c r="I74" s="95">
        <f t="shared" si="4"/>
        <v>18750</v>
      </c>
      <c r="J74" s="98">
        <f t="shared" si="5"/>
        <v>0.14071294559099437</v>
      </c>
      <c r="K74" s="99">
        <v>0.18</v>
      </c>
      <c r="L74" s="100">
        <f t="shared" si="6"/>
        <v>23985</v>
      </c>
      <c r="M74" s="101">
        <f t="shared" si="7"/>
        <v>157235</v>
      </c>
      <c r="N74" s="102" t="s">
        <v>90</v>
      </c>
      <c r="O74" s="102" t="s">
        <v>132</v>
      </c>
      <c r="P74" s="103" t="s">
        <v>168</v>
      </c>
      <c r="Q74" s="102" t="s">
        <v>39</v>
      </c>
      <c r="R74" s="57" t="s">
        <v>290</v>
      </c>
      <c r="S74" s="175" t="s">
        <v>312</v>
      </c>
    </row>
    <row r="75" spans="1:26" s="10" customFormat="1" ht="15.75">
      <c r="A75" s="91">
        <v>48</v>
      </c>
      <c r="B75" s="91" t="s">
        <v>271</v>
      </c>
      <c r="C75" s="141" t="s">
        <v>275</v>
      </c>
      <c r="D75" s="93">
        <v>150</v>
      </c>
      <c r="E75" s="94">
        <v>235</v>
      </c>
      <c r="F75" s="95">
        <f t="shared" si="2"/>
        <v>35250</v>
      </c>
      <c r="G75" s="96">
        <v>273</v>
      </c>
      <c r="H75" s="97">
        <f t="shared" si="3"/>
        <v>40950</v>
      </c>
      <c r="I75" s="95">
        <f t="shared" si="4"/>
        <v>5700</v>
      </c>
      <c r="J75" s="98">
        <f t="shared" si="5"/>
        <v>0.1391941391941392</v>
      </c>
      <c r="K75" s="99">
        <v>0.18</v>
      </c>
      <c r="L75" s="100">
        <f t="shared" si="6"/>
        <v>7371</v>
      </c>
      <c r="M75" s="101">
        <f t="shared" si="7"/>
        <v>48321</v>
      </c>
      <c r="N75" s="102" t="s">
        <v>90</v>
      </c>
      <c r="O75" s="102" t="s">
        <v>132</v>
      </c>
      <c r="P75" s="103" t="s">
        <v>168</v>
      </c>
      <c r="Q75" s="102" t="s">
        <v>39</v>
      </c>
      <c r="R75" s="57" t="s">
        <v>290</v>
      </c>
      <c r="S75" s="175" t="s">
        <v>312</v>
      </c>
    </row>
    <row r="76" spans="1:26" s="10" customFormat="1" ht="15.75">
      <c r="A76" s="91">
        <v>49</v>
      </c>
      <c r="B76" s="91" t="s">
        <v>272</v>
      </c>
      <c r="C76" s="141" t="s">
        <v>276</v>
      </c>
      <c r="D76" s="93">
        <v>125</v>
      </c>
      <c r="E76" s="94">
        <v>140</v>
      </c>
      <c r="F76" s="95">
        <f t="shared" si="2"/>
        <v>17500</v>
      </c>
      <c r="G76" s="96">
        <v>163</v>
      </c>
      <c r="H76" s="97">
        <f t="shared" si="3"/>
        <v>20375</v>
      </c>
      <c r="I76" s="95">
        <f t="shared" si="4"/>
        <v>2875</v>
      </c>
      <c r="J76" s="98">
        <f t="shared" si="5"/>
        <v>0.1411042944785276</v>
      </c>
      <c r="K76" s="99">
        <v>0.18</v>
      </c>
      <c r="L76" s="100">
        <f t="shared" si="6"/>
        <v>3667.5</v>
      </c>
      <c r="M76" s="101">
        <f t="shared" si="7"/>
        <v>24042.5</v>
      </c>
      <c r="N76" s="102" t="s">
        <v>90</v>
      </c>
      <c r="O76" s="102" t="s">
        <v>132</v>
      </c>
      <c r="P76" s="103" t="s">
        <v>167</v>
      </c>
      <c r="Q76" s="102" t="s">
        <v>39</v>
      </c>
      <c r="R76" s="57" t="s">
        <v>290</v>
      </c>
      <c r="S76" s="175" t="s">
        <v>312</v>
      </c>
    </row>
    <row r="77" spans="1:26" s="10" customFormat="1" ht="15.75">
      <c r="A77" s="91">
        <v>50</v>
      </c>
      <c r="B77" s="91" t="s">
        <v>273</v>
      </c>
      <c r="C77" s="141" t="s">
        <v>277</v>
      </c>
      <c r="D77" s="93">
        <v>500</v>
      </c>
      <c r="E77" s="94">
        <v>165</v>
      </c>
      <c r="F77" s="95">
        <f t="shared" si="2"/>
        <v>82500</v>
      </c>
      <c r="G77" s="96">
        <v>192</v>
      </c>
      <c r="H77" s="97">
        <f t="shared" si="3"/>
        <v>96000</v>
      </c>
      <c r="I77" s="95">
        <f t="shared" si="4"/>
        <v>13500</v>
      </c>
      <c r="J77" s="98">
        <f t="shared" si="5"/>
        <v>0.140625</v>
      </c>
      <c r="K77" s="99">
        <v>0.18</v>
      </c>
      <c r="L77" s="100">
        <f t="shared" si="6"/>
        <v>17280</v>
      </c>
      <c r="M77" s="101">
        <f t="shared" si="7"/>
        <v>113280</v>
      </c>
      <c r="N77" s="102" t="s">
        <v>90</v>
      </c>
      <c r="O77" s="102" t="s">
        <v>132</v>
      </c>
      <c r="P77" s="103" t="s">
        <v>168</v>
      </c>
      <c r="Q77" s="102" t="s">
        <v>39</v>
      </c>
      <c r="R77" s="57" t="s">
        <v>290</v>
      </c>
      <c r="S77" s="175" t="s">
        <v>312</v>
      </c>
    </row>
    <row r="78" spans="1:26" s="10" customFormat="1" ht="15.75">
      <c r="A78" s="91">
        <v>51</v>
      </c>
      <c r="B78" s="91" t="s">
        <v>278</v>
      </c>
      <c r="C78" s="92" t="s">
        <v>279</v>
      </c>
      <c r="D78" s="93">
        <v>1</v>
      </c>
      <c r="E78" s="94">
        <v>643082</v>
      </c>
      <c r="F78" s="95">
        <f t="shared" si="2"/>
        <v>643082</v>
      </c>
      <c r="G78" s="96">
        <v>926665</v>
      </c>
      <c r="H78" s="97">
        <f t="shared" si="3"/>
        <v>926665</v>
      </c>
      <c r="I78" s="95">
        <f t="shared" si="4"/>
        <v>283583</v>
      </c>
      <c r="J78" s="98">
        <f t="shared" si="5"/>
        <v>0.30602537054922763</v>
      </c>
      <c r="K78" s="99">
        <v>0.18</v>
      </c>
      <c r="L78" s="100">
        <f t="shared" si="6"/>
        <v>166799.69999999998</v>
      </c>
      <c r="M78" s="101">
        <f t="shared" si="7"/>
        <v>1093464.7</v>
      </c>
      <c r="N78" s="102" t="s">
        <v>36</v>
      </c>
      <c r="O78" s="102" t="s">
        <v>132</v>
      </c>
      <c r="P78" s="103" t="s">
        <v>167</v>
      </c>
      <c r="Q78" s="102" t="s">
        <v>39</v>
      </c>
      <c r="R78" s="57" t="s">
        <v>302</v>
      </c>
      <c r="S78" s="56" t="s">
        <v>131</v>
      </c>
    </row>
    <row r="79" spans="1:26" ht="15.75">
      <c r="A79" s="104"/>
      <c r="B79" s="105" t="s">
        <v>41</v>
      </c>
      <c r="C79" s="106"/>
      <c r="D79" s="107"/>
      <c r="E79" s="108"/>
      <c r="F79" s="109">
        <f>SUM(F28:F78)</f>
        <v>3707473</v>
      </c>
      <c r="G79" s="109"/>
      <c r="H79" s="109">
        <f>SUM(H28:H78)</f>
        <v>4594010</v>
      </c>
      <c r="I79" s="110">
        <f>(H79-F79)</f>
        <v>886537</v>
      </c>
      <c r="J79" s="111">
        <f t="shared" ref="J79" si="8">I79/H79</f>
        <v>0.19297672403847618</v>
      </c>
      <c r="K79" s="112"/>
      <c r="L79" s="113">
        <f>SUM(L28:L78)</f>
        <v>826921.7999999997</v>
      </c>
      <c r="M79" s="113">
        <f>SUM(M28:M78)</f>
        <v>5420931.7999999998</v>
      </c>
      <c r="N79" s="114"/>
      <c r="O79" s="114"/>
      <c r="P79" s="114"/>
      <c r="Q79" s="114"/>
      <c r="R79" s="114"/>
      <c r="S79" s="114"/>
      <c r="Z79" s="11"/>
    </row>
    <row r="80" spans="1:26">
      <c r="H80" s="14"/>
      <c r="Z80" s="11"/>
    </row>
    <row r="82" spans="4:12">
      <c r="D82" s="13"/>
      <c r="E82" s="13"/>
      <c r="G82" s="15"/>
      <c r="H82" s="16"/>
      <c r="I82" s="17"/>
      <c r="J82" s="18"/>
      <c r="K82" s="19"/>
    </row>
    <row r="83" spans="4:12">
      <c r="D83" s="13"/>
      <c r="E83" s="13"/>
      <c r="F83" s="15"/>
      <c r="G83" s="16"/>
      <c r="H83" s="15"/>
      <c r="I83" s="18"/>
      <c r="J83" s="19"/>
      <c r="L83" s="10"/>
    </row>
    <row r="84" spans="4:12">
      <c r="D84" s="13"/>
      <c r="E84" s="13"/>
      <c r="F84" s="20"/>
      <c r="G84" s="20"/>
      <c r="H84" s="20"/>
      <c r="L84" s="10"/>
    </row>
    <row r="85" spans="4:12">
      <c r="D85" s="13"/>
      <c r="E85" s="13"/>
      <c r="F85" s="13"/>
      <c r="G85" s="20"/>
      <c r="L85" s="10"/>
    </row>
    <row r="86" spans="4:12">
      <c r="D86" s="13"/>
      <c r="E86" s="13"/>
      <c r="F86" s="13"/>
      <c r="L86" s="10"/>
    </row>
    <row r="87" spans="4:12">
      <c r="D87" s="13"/>
      <c r="E87" s="13"/>
      <c r="F87" s="20"/>
      <c r="G87" s="21"/>
      <c r="K87" s="22"/>
      <c r="L87" s="10"/>
    </row>
    <row r="88" spans="4:12">
      <c r="D88" s="13"/>
      <c r="E88" s="13"/>
      <c r="F88" s="20"/>
      <c r="K88" s="22"/>
      <c r="L88" s="10"/>
    </row>
    <row r="89" spans="4:12">
      <c r="D89" s="13"/>
      <c r="E89" s="13"/>
      <c r="F89" s="13"/>
      <c r="L89" s="10"/>
    </row>
    <row r="90" spans="4:12">
      <c r="D90" s="13"/>
      <c r="E90" s="13"/>
      <c r="F90" s="13"/>
      <c r="L90" s="10"/>
    </row>
    <row r="91" spans="4:12">
      <c r="D91" s="13"/>
      <c r="E91" s="13"/>
      <c r="F91" s="13"/>
      <c r="L91" s="10"/>
    </row>
    <row r="95" spans="4:12">
      <c r="I95" s="20"/>
    </row>
    <row r="96" spans="4:12">
      <c r="I96" s="20"/>
    </row>
    <row r="97" spans="7:10">
      <c r="G97" s="14"/>
      <c r="I97" s="14"/>
      <c r="J97" s="14"/>
    </row>
    <row r="98" spans="7:10">
      <c r="G98" s="14"/>
      <c r="I98" s="14"/>
      <c r="J98" s="14"/>
    </row>
    <row r="99" spans="7:10">
      <c r="G99" s="14"/>
    </row>
  </sheetData>
  <mergeCells count="8">
    <mergeCell ref="C10:E10"/>
    <mergeCell ref="B2:E2"/>
    <mergeCell ref="B12:C12"/>
    <mergeCell ref="C3:E3"/>
    <mergeCell ref="C4:E4"/>
    <mergeCell ref="C5:E5"/>
    <mergeCell ref="C6:E6"/>
    <mergeCell ref="C7:E7"/>
  </mergeCells>
  <dataValidations disablePrompts="1" count="1">
    <dataValidation type="list" allowBlank="1" showInputMessage="1" showErrorMessage="1" sqref="N79:S79 Z79:Z80" xr:uid="{D90EFD1A-22B5-43AA-BCD9-DB5408EBB545}">
      <formula1>$Z$79:$Z$82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BF69A541-559A-4BB6-8A24-EACD35B1505E}">
          <x14:formula1>
            <xm:f>Practices!$G$2:$G$4</xm:f>
          </x14:formula1>
          <xm:sqref>N28:N78</xm:sqref>
        </x14:dataValidation>
        <x14:dataValidation type="list" allowBlank="1" showInputMessage="1" showErrorMessage="1" xr:uid="{FE71D2CE-80D0-488B-B20B-EA05E02FC65B}">
          <x14:formula1>
            <xm:f>Practices!$L$2:$L$27</xm:f>
          </x14:formula1>
          <xm:sqref>S28:S31 S78</xm:sqref>
        </x14:dataValidation>
        <x14:dataValidation type="list" allowBlank="1" showInputMessage="1" showErrorMessage="1" xr:uid="{2306F0A6-012F-48F8-82CC-0E581717A17B}">
          <x14:formula1>
            <xm:f>Practices!$A$15:$A$24</xm:f>
          </x14:formula1>
          <xm:sqref>O28:O78</xm:sqref>
        </x14:dataValidation>
        <x14:dataValidation type="list" allowBlank="1" showInputMessage="1" showErrorMessage="1" xr:uid="{44DE2867-D4B2-450E-9E07-9914E0971F1D}">
          <x14:formula1>
            <xm:f>Practices!$G$15:$G$18</xm:f>
          </x14:formula1>
          <xm:sqref>Q28:Q78</xm:sqref>
        </x14:dataValidation>
        <x14:dataValidation type="list" allowBlank="1" showInputMessage="1" showErrorMessage="1" xr:uid="{A9580E8A-551A-4F85-B276-76F44B959D05}">
          <x14:formula1>
            <xm:f>Practices!$J$15:$J$20</xm:f>
          </x14:formula1>
          <xm:sqref>P28:P78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O40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H11" sqref="H11:J11"/>
    </sheetView>
  </sheetViews>
  <sheetFormatPr defaultColWidth="8.85546875" defaultRowHeight="14.25"/>
  <cols>
    <col min="1" max="1" width="2.42578125" style="23" customWidth="1"/>
    <col min="2" max="2" width="24" style="23" customWidth="1"/>
    <col min="3" max="3" width="30.85546875" style="23" customWidth="1"/>
    <col min="4" max="10" width="14" style="23" customWidth="1"/>
    <col min="11" max="11" width="15.140625" style="23" customWidth="1"/>
    <col min="12" max="15" width="14" style="23" customWidth="1"/>
    <col min="16" max="16" width="10" style="23" customWidth="1"/>
    <col min="17" max="16384" width="8.85546875" style="23"/>
  </cols>
  <sheetData>
    <row r="1" spans="2:15" ht="19.899999999999999" customHeight="1">
      <c r="G1" s="72" t="s">
        <v>42</v>
      </c>
    </row>
    <row r="2" spans="2:15" ht="18.600000000000001" customHeight="1">
      <c r="G2" s="73" t="s">
        <v>43</v>
      </c>
    </row>
    <row r="3" spans="2:15" ht="8.4499999999999993" customHeight="1" thickBot="1"/>
    <row r="4" spans="2:15" ht="18">
      <c r="B4" s="157" t="s">
        <v>44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9"/>
    </row>
    <row r="5" spans="2:15">
      <c r="B5" s="168" t="s">
        <v>45</v>
      </c>
      <c r="C5" s="170" t="s">
        <v>46</v>
      </c>
      <c r="D5" s="160" t="s">
        <v>47</v>
      </c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2"/>
    </row>
    <row r="6" spans="2:15">
      <c r="B6" s="168"/>
      <c r="C6" s="171"/>
      <c r="D6" s="66" t="s">
        <v>48</v>
      </c>
      <c r="E6" s="66" t="s">
        <v>49</v>
      </c>
      <c r="F6" s="66" t="s">
        <v>50</v>
      </c>
      <c r="G6" s="66" t="s">
        <v>51</v>
      </c>
      <c r="H6" s="66" t="s">
        <v>52</v>
      </c>
      <c r="I6" s="66" t="s">
        <v>53</v>
      </c>
      <c r="J6" s="67" t="s">
        <v>54</v>
      </c>
      <c r="K6" s="67" t="s">
        <v>55</v>
      </c>
      <c r="L6" s="68" t="s">
        <v>56</v>
      </c>
      <c r="M6" s="68" t="s">
        <v>57</v>
      </c>
      <c r="N6" s="68" t="s">
        <v>58</v>
      </c>
      <c r="O6" s="69" t="s">
        <v>59</v>
      </c>
    </row>
    <row r="7" spans="2:15">
      <c r="B7" s="168"/>
      <c r="C7" s="65" t="s">
        <v>60</v>
      </c>
      <c r="D7" s="24">
        <v>1500</v>
      </c>
      <c r="E7" s="25">
        <v>1750</v>
      </c>
      <c r="F7" s="25">
        <v>2727.27</v>
      </c>
      <c r="G7" s="25">
        <v>3636.36</v>
      </c>
      <c r="H7" s="25">
        <v>5454.55</v>
      </c>
      <c r="I7" s="26">
        <v>6818.18</v>
      </c>
      <c r="J7" s="26">
        <v>8181.82</v>
      </c>
      <c r="K7" s="25">
        <v>9545.4500000000007</v>
      </c>
      <c r="L7" s="25">
        <v>11363.64</v>
      </c>
      <c r="M7" s="25">
        <v>13636.36</v>
      </c>
      <c r="N7" s="25">
        <v>18181.82</v>
      </c>
      <c r="O7" s="43">
        <v>22727.27</v>
      </c>
    </row>
    <row r="8" spans="2:15">
      <c r="B8" s="168"/>
      <c r="C8" s="65" t="s">
        <v>61</v>
      </c>
      <c r="D8" s="24">
        <v>187.5</v>
      </c>
      <c r="E8" s="27">
        <v>218.75</v>
      </c>
      <c r="F8" s="27">
        <v>340.90875</v>
      </c>
      <c r="G8" s="27">
        <v>454.54500000000002</v>
      </c>
      <c r="H8" s="27">
        <v>681.81875000000002</v>
      </c>
      <c r="I8" s="27">
        <v>852.27250000000004</v>
      </c>
      <c r="J8" s="27">
        <v>1022.7275</v>
      </c>
      <c r="K8" s="27">
        <v>1193.1812500000001</v>
      </c>
      <c r="L8" s="27">
        <v>1420.4549999999999</v>
      </c>
      <c r="M8" s="27">
        <v>1704.5450000000001</v>
      </c>
      <c r="N8" s="27">
        <v>2272.7275</v>
      </c>
      <c r="O8" s="44">
        <v>2840.9087500000001</v>
      </c>
    </row>
    <row r="9" spans="2:15">
      <c r="B9" s="45"/>
      <c r="C9" s="28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46"/>
    </row>
    <row r="10" spans="2:15">
      <c r="B10" s="169" t="s">
        <v>62</v>
      </c>
      <c r="C10" s="121" t="s">
        <v>63</v>
      </c>
      <c r="D10" s="31"/>
      <c r="E10" s="31"/>
      <c r="F10" s="31"/>
      <c r="G10" s="31"/>
      <c r="H10" s="31">
        <v>81</v>
      </c>
      <c r="I10" s="31"/>
      <c r="J10" s="31">
        <v>49</v>
      </c>
      <c r="K10" s="31"/>
      <c r="L10" s="31"/>
      <c r="M10" s="31"/>
      <c r="N10" s="31"/>
      <c r="O10" s="47"/>
    </row>
    <row r="11" spans="2:15">
      <c r="B11" s="169"/>
      <c r="C11" s="30" t="s">
        <v>64</v>
      </c>
      <c r="D11" s="32">
        <f>D10*D8</f>
        <v>0</v>
      </c>
      <c r="E11" s="32">
        <f t="shared" ref="E11:O11" si="0">E10*E8</f>
        <v>0</v>
      </c>
      <c r="F11" s="32">
        <f t="shared" si="0"/>
        <v>0</v>
      </c>
      <c r="G11" s="32">
        <f t="shared" si="0"/>
        <v>0</v>
      </c>
      <c r="H11" s="32">
        <f t="shared" si="0"/>
        <v>55227.318749999999</v>
      </c>
      <c r="I11" s="32">
        <f t="shared" si="0"/>
        <v>0</v>
      </c>
      <c r="J11" s="32">
        <f t="shared" si="0"/>
        <v>50113.647499999999</v>
      </c>
      <c r="K11" s="32">
        <f t="shared" si="0"/>
        <v>0</v>
      </c>
      <c r="L11" s="32">
        <f t="shared" si="0"/>
        <v>0</v>
      </c>
      <c r="M11" s="32">
        <f t="shared" si="0"/>
        <v>0</v>
      </c>
      <c r="N11" s="32">
        <f t="shared" si="0"/>
        <v>0</v>
      </c>
      <c r="O11" s="32">
        <f t="shared" si="0"/>
        <v>0</v>
      </c>
    </row>
    <row r="12" spans="2:15">
      <c r="B12" s="168"/>
      <c r="C12" s="30" t="s">
        <v>65</v>
      </c>
      <c r="D12" s="33"/>
      <c r="E12" s="33"/>
      <c r="F12" s="33"/>
      <c r="G12" s="33"/>
      <c r="H12" s="33">
        <v>30000</v>
      </c>
      <c r="I12" s="33"/>
      <c r="J12" s="33"/>
      <c r="K12" s="33"/>
      <c r="L12" s="33"/>
      <c r="M12" s="33"/>
      <c r="N12" s="33"/>
      <c r="O12" s="48"/>
    </row>
    <row r="13" spans="2:15">
      <c r="B13" s="168"/>
      <c r="C13" s="30" t="s">
        <v>66</v>
      </c>
      <c r="D13" s="34"/>
      <c r="E13" s="34"/>
      <c r="F13" s="34"/>
      <c r="G13" s="34"/>
      <c r="H13" s="34">
        <v>5000</v>
      </c>
      <c r="I13" s="34"/>
      <c r="J13" s="34"/>
      <c r="K13" s="34"/>
      <c r="L13" s="34"/>
      <c r="M13" s="34"/>
      <c r="N13" s="34"/>
      <c r="O13" s="49"/>
    </row>
    <row r="14" spans="2:15">
      <c r="B14" s="168"/>
      <c r="C14" s="30" t="s">
        <v>67</v>
      </c>
      <c r="D14" s="34"/>
      <c r="E14" s="34"/>
      <c r="F14" s="34"/>
      <c r="G14" s="34"/>
      <c r="H14" s="34">
        <v>10000</v>
      </c>
      <c r="I14" s="34"/>
      <c r="J14" s="34"/>
      <c r="K14" s="34"/>
      <c r="L14" s="34"/>
      <c r="M14" s="34"/>
      <c r="N14" s="34"/>
      <c r="O14" s="49"/>
    </row>
    <row r="15" spans="2:15">
      <c r="B15" s="168"/>
      <c r="C15" s="30" t="s">
        <v>6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49"/>
    </row>
    <row r="16" spans="2:15">
      <c r="B16" s="168"/>
      <c r="C16" s="30" t="s">
        <v>68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49"/>
    </row>
    <row r="17" spans="2:15">
      <c r="B17" s="163" t="s">
        <v>69</v>
      </c>
      <c r="C17" s="164"/>
      <c r="D17" s="34">
        <f t="shared" ref="D17:O17" si="1">SUM(D11:D16)</f>
        <v>0</v>
      </c>
      <c r="E17" s="34">
        <f t="shared" si="1"/>
        <v>0</v>
      </c>
      <c r="F17" s="34">
        <f t="shared" si="1"/>
        <v>0</v>
      </c>
      <c r="G17" s="34">
        <f t="shared" si="1"/>
        <v>0</v>
      </c>
      <c r="H17" s="34">
        <f t="shared" si="1"/>
        <v>100227.31875000001</v>
      </c>
      <c r="I17" s="34">
        <f t="shared" si="1"/>
        <v>0</v>
      </c>
      <c r="J17" s="34">
        <f t="shared" si="1"/>
        <v>50113.647499999999</v>
      </c>
      <c r="K17" s="34">
        <f t="shared" si="1"/>
        <v>0</v>
      </c>
      <c r="L17" s="34">
        <f t="shared" si="1"/>
        <v>0</v>
      </c>
      <c r="M17" s="34">
        <f t="shared" si="1"/>
        <v>0</v>
      </c>
      <c r="N17" s="34">
        <f t="shared" si="1"/>
        <v>0</v>
      </c>
      <c r="O17" s="49">
        <f t="shared" si="1"/>
        <v>0</v>
      </c>
    </row>
    <row r="18" spans="2:15">
      <c r="B18" s="163" t="s">
        <v>70</v>
      </c>
      <c r="C18" s="165"/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50">
        <f>SUM(D17:O17)</f>
        <v>150340.96625</v>
      </c>
    </row>
    <row r="19" spans="2:15">
      <c r="B19" s="169" t="s">
        <v>71</v>
      </c>
      <c r="C19" s="30" t="s">
        <v>72</v>
      </c>
      <c r="D19" s="37"/>
      <c r="E19" s="31"/>
      <c r="F19" s="31"/>
      <c r="G19" s="31"/>
      <c r="H19" s="31"/>
      <c r="I19" s="38"/>
      <c r="J19" s="38"/>
      <c r="K19" s="31"/>
      <c r="L19" s="31"/>
      <c r="M19" s="31"/>
      <c r="N19" s="31"/>
      <c r="O19" s="47"/>
    </row>
    <row r="20" spans="2:15">
      <c r="B20" s="169"/>
      <c r="C20" s="30" t="s">
        <v>73</v>
      </c>
      <c r="D20" s="37"/>
      <c r="E20" s="31"/>
      <c r="F20" s="31"/>
      <c r="G20" s="31"/>
      <c r="H20" s="31"/>
      <c r="I20" s="38"/>
      <c r="J20" s="38"/>
      <c r="K20" s="31"/>
      <c r="L20" s="31"/>
      <c r="M20" s="31"/>
      <c r="N20" s="31"/>
      <c r="O20" s="47"/>
    </row>
    <row r="21" spans="2:15">
      <c r="B21" s="169"/>
      <c r="C21" s="30" t="s">
        <v>74</v>
      </c>
      <c r="D21" s="37"/>
      <c r="E21" s="31"/>
      <c r="F21" s="31"/>
      <c r="G21" s="31"/>
      <c r="H21" s="31"/>
      <c r="I21" s="38"/>
      <c r="J21" s="38"/>
      <c r="K21" s="31"/>
      <c r="L21" s="31"/>
      <c r="M21" s="31"/>
      <c r="N21" s="31"/>
      <c r="O21" s="47"/>
    </row>
    <row r="22" spans="2:15">
      <c r="B22" s="169"/>
      <c r="C22" s="30" t="s">
        <v>75</v>
      </c>
      <c r="D22" s="37"/>
      <c r="E22" s="31"/>
      <c r="F22" s="31"/>
      <c r="G22" s="31"/>
      <c r="H22" s="31"/>
      <c r="I22" s="38"/>
      <c r="J22" s="38"/>
      <c r="K22" s="31"/>
      <c r="L22" s="31"/>
      <c r="M22" s="31"/>
      <c r="N22" s="31"/>
      <c r="O22" s="47"/>
    </row>
    <row r="23" spans="2:15">
      <c r="B23" s="169"/>
      <c r="C23" s="122" t="s">
        <v>76</v>
      </c>
      <c r="D23" s="37">
        <f>SUM(D19:D22)</f>
        <v>0</v>
      </c>
      <c r="E23" s="37">
        <f t="shared" ref="E23:O23" si="2">SUM(E19:E22)</f>
        <v>0</v>
      </c>
      <c r="F23" s="37">
        <f t="shared" si="2"/>
        <v>0</v>
      </c>
      <c r="G23" s="37">
        <f t="shared" si="2"/>
        <v>0</v>
      </c>
      <c r="H23" s="37">
        <f t="shared" si="2"/>
        <v>0</v>
      </c>
      <c r="I23" s="37">
        <f t="shared" si="2"/>
        <v>0</v>
      </c>
      <c r="J23" s="37">
        <f t="shared" si="2"/>
        <v>0</v>
      </c>
      <c r="K23" s="37">
        <f t="shared" si="2"/>
        <v>0</v>
      </c>
      <c r="L23" s="37">
        <f t="shared" si="2"/>
        <v>0</v>
      </c>
      <c r="M23" s="37">
        <f t="shared" si="2"/>
        <v>0</v>
      </c>
      <c r="N23" s="37">
        <f t="shared" si="2"/>
        <v>0</v>
      </c>
      <c r="O23" s="51">
        <f t="shared" si="2"/>
        <v>0</v>
      </c>
    </row>
    <row r="24" spans="2:15" ht="28.5">
      <c r="B24" s="169"/>
      <c r="C24" s="70" t="s">
        <v>77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52"/>
    </row>
    <row r="25" spans="2:15">
      <c r="B25" s="169"/>
      <c r="C25" s="30" t="s">
        <v>65</v>
      </c>
      <c r="D25" s="24"/>
      <c r="E25" s="31"/>
      <c r="F25" s="31"/>
      <c r="G25" s="31"/>
      <c r="H25" s="31"/>
      <c r="I25" s="38"/>
      <c r="J25" s="38"/>
      <c r="K25" s="31"/>
      <c r="L25" s="31"/>
      <c r="M25" s="31"/>
      <c r="N25" s="31"/>
      <c r="O25" s="47"/>
    </row>
    <row r="26" spans="2:15">
      <c r="B26" s="169"/>
      <c r="C26" s="30" t="s">
        <v>66</v>
      </c>
      <c r="D26" s="24"/>
      <c r="E26" s="31"/>
      <c r="F26" s="31"/>
      <c r="G26" s="31"/>
      <c r="H26" s="31"/>
      <c r="I26" s="38"/>
      <c r="J26" s="38"/>
      <c r="K26" s="31"/>
      <c r="L26" s="31"/>
      <c r="M26" s="31"/>
      <c r="N26" s="31"/>
      <c r="O26" s="47"/>
    </row>
    <row r="27" spans="2:15">
      <c r="B27" s="169"/>
      <c r="C27" s="30" t="s">
        <v>67</v>
      </c>
      <c r="D27" s="24"/>
      <c r="E27" s="31"/>
      <c r="F27" s="31"/>
      <c r="G27" s="31"/>
      <c r="H27" s="31"/>
      <c r="I27" s="38"/>
      <c r="J27" s="38"/>
      <c r="K27" s="31"/>
      <c r="L27" s="31"/>
      <c r="M27" s="31"/>
      <c r="N27" s="31"/>
      <c r="O27" s="47"/>
    </row>
    <row r="28" spans="2:15">
      <c r="B28" s="169"/>
      <c r="C28" s="30" t="s">
        <v>6</v>
      </c>
      <c r="D28" s="31"/>
      <c r="E28" s="31"/>
      <c r="F28" s="31"/>
      <c r="G28" s="31"/>
      <c r="H28" s="31"/>
      <c r="I28" s="38"/>
      <c r="J28" s="38"/>
      <c r="K28" s="31"/>
      <c r="L28" s="31"/>
      <c r="M28" s="31"/>
      <c r="N28" s="31"/>
      <c r="O28" s="47"/>
    </row>
    <row r="29" spans="2:15">
      <c r="B29" s="169"/>
      <c r="C29" s="71" t="s">
        <v>68</v>
      </c>
      <c r="D29" s="39"/>
      <c r="E29" s="39"/>
      <c r="F29" s="39"/>
      <c r="G29" s="39"/>
      <c r="H29" s="39"/>
      <c r="I29" s="31"/>
      <c r="J29" s="31"/>
      <c r="K29" s="31"/>
      <c r="L29" s="31"/>
      <c r="M29" s="31"/>
      <c r="N29" s="31"/>
      <c r="O29" s="47"/>
    </row>
    <row r="30" spans="2:15" ht="15" customHeight="1">
      <c r="B30" s="163" t="s">
        <v>69</v>
      </c>
      <c r="C30" s="164"/>
      <c r="D30" s="34">
        <f>SUM(D24:D29)</f>
        <v>0</v>
      </c>
      <c r="E30" s="34">
        <f t="shared" ref="E30:O30" si="3">SUM(E24:E29)</f>
        <v>0</v>
      </c>
      <c r="F30" s="34">
        <f t="shared" si="3"/>
        <v>0</v>
      </c>
      <c r="G30" s="34">
        <f t="shared" si="3"/>
        <v>0</v>
      </c>
      <c r="H30" s="34">
        <f t="shared" si="3"/>
        <v>0</v>
      </c>
      <c r="I30" s="34">
        <f t="shared" si="3"/>
        <v>0</v>
      </c>
      <c r="J30" s="34">
        <f t="shared" si="3"/>
        <v>0</v>
      </c>
      <c r="K30" s="34">
        <f t="shared" si="3"/>
        <v>0</v>
      </c>
      <c r="L30" s="34">
        <f t="shared" si="3"/>
        <v>0</v>
      </c>
      <c r="M30" s="34">
        <f t="shared" si="3"/>
        <v>0</v>
      </c>
      <c r="N30" s="34">
        <f t="shared" si="3"/>
        <v>0</v>
      </c>
      <c r="O30" s="49">
        <f t="shared" si="3"/>
        <v>0</v>
      </c>
    </row>
    <row r="31" spans="2:15" ht="15" thickBot="1">
      <c r="B31" s="166" t="s">
        <v>70</v>
      </c>
      <c r="C31" s="167"/>
      <c r="D31" s="53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>
        <f>SUM(D30:O30)</f>
        <v>0</v>
      </c>
    </row>
    <row r="32" spans="2:15">
      <c r="G32" s="40"/>
      <c r="H32" s="40"/>
    </row>
    <row r="33" spans="2:8">
      <c r="C33" s="41"/>
      <c r="D33" s="41"/>
      <c r="G33" s="40"/>
      <c r="H33" s="40"/>
    </row>
    <row r="34" spans="2:8">
      <c r="C34" s="41"/>
      <c r="D34" s="41"/>
      <c r="G34" s="40"/>
      <c r="H34" s="40"/>
    </row>
    <row r="35" spans="2:8">
      <c r="B35" s="58" t="s">
        <v>78</v>
      </c>
      <c r="C35" s="41"/>
      <c r="D35" s="42"/>
      <c r="E35" s="42"/>
      <c r="G35" s="40"/>
      <c r="H35" s="40"/>
    </row>
    <row r="36" spans="2:8">
      <c r="B36" s="41" t="s">
        <v>20</v>
      </c>
      <c r="C36" s="41" t="s">
        <v>79</v>
      </c>
      <c r="D36" s="41"/>
      <c r="G36" s="40"/>
      <c r="H36" s="40"/>
    </row>
    <row r="37" spans="2:8">
      <c r="B37" s="23" t="s">
        <v>80</v>
      </c>
      <c r="C37" s="59">
        <v>1</v>
      </c>
      <c r="D37" s="41"/>
    </row>
    <row r="38" spans="2:8">
      <c r="B38" s="23" t="s">
        <v>81</v>
      </c>
      <c r="C38" s="59">
        <v>1</v>
      </c>
    </row>
    <row r="39" spans="2:8">
      <c r="B39" s="23" t="s">
        <v>82</v>
      </c>
      <c r="C39" s="59"/>
    </row>
    <row r="40" spans="2:8">
      <c r="B40" s="41" t="s">
        <v>41</v>
      </c>
      <c r="C40" s="60">
        <f>SUM(C37:C39)</f>
        <v>2</v>
      </c>
    </row>
  </sheetData>
  <mergeCells count="10">
    <mergeCell ref="B4:O4"/>
    <mergeCell ref="D5:O5"/>
    <mergeCell ref="B17:C17"/>
    <mergeCell ref="B18:C18"/>
    <mergeCell ref="B31:C31"/>
    <mergeCell ref="B30:C30"/>
    <mergeCell ref="B5:B8"/>
    <mergeCell ref="B10:B16"/>
    <mergeCell ref="B19:B29"/>
    <mergeCell ref="C5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EAF5-BB3D-4441-BEC2-D447AA4C5A29}">
  <sheetPr>
    <tabColor theme="5" tint="0.39997558519241921"/>
  </sheetPr>
  <dimension ref="A1:Q102"/>
  <sheetViews>
    <sheetView topLeftCell="C79" zoomScale="124" zoomScaleNormal="100" workbookViewId="0">
      <selection activeCell="I10" sqref="I10"/>
    </sheetView>
  </sheetViews>
  <sheetFormatPr defaultColWidth="9.140625" defaultRowHeight="12.75"/>
  <cols>
    <col min="1" max="1" width="5.42578125" style="177" bestFit="1" customWidth="1"/>
    <col min="2" max="2" width="19.5703125" style="177" customWidth="1"/>
    <col min="3" max="3" width="61.85546875" style="177" customWidth="1"/>
    <col min="4" max="4" width="8.140625" style="177" customWidth="1"/>
    <col min="5" max="5" width="5" style="177" bestFit="1" customWidth="1"/>
    <col min="6" max="6" width="10.140625" style="177" customWidth="1"/>
    <col min="7" max="7" width="11" style="177" customWidth="1"/>
    <col min="8" max="8" width="9.28515625" style="177" bestFit="1" customWidth="1"/>
    <col min="9" max="9" width="23.5703125" style="177" bestFit="1" customWidth="1"/>
    <col min="10" max="10" width="12.140625" style="177" bestFit="1" customWidth="1"/>
    <col min="11" max="11" width="12.140625" style="178" bestFit="1" customWidth="1"/>
    <col min="12" max="12" width="12.140625" style="179" bestFit="1" customWidth="1"/>
    <col min="13" max="13" width="12.140625" style="178" bestFit="1" customWidth="1"/>
    <col min="14" max="16384" width="9.140625" style="177"/>
  </cols>
  <sheetData>
    <row r="1" spans="1:17">
      <c r="A1" s="176" t="s">
        <v>323</v>
      </c>
      <c r="B1" s="176"/>
      <c r="C1" s="176"/>
      <c r="D1" s="176"/>
      <c r="E1" s="176"/>
      <c r="F1" s="176"/>
      <c r="G1" s="176"/>
    </row>
    <row r="2" spans="1:17" ht="40.5" customHeight="1">
      <c r="A2" s="180" t="s">
        <v>18</v>
      </c>
      <c r="B2" s="181" t="s">
        <v>324</v>
      </c>
      <c r="C2" s="180" t="s">
        <v>325</v>
      </c>
      <c r="D2" s="180" t="s">
        <v>21</v>
      </c>
      <c r="E2" s="180" t="s">
        <v>326</v>
      </c>
      <c r="F2" s="182" t="s">
        <v>327</v>
      </c>
      <c r="G2" s="182" t="s">
        <v>328</v>
      </c>
      <c r="I2" s="182" t="s">
        <v>329</v>
      </c>
      <c r="J2" s="182" t="s">
        <v>330</v>
      </c>
      <c r="K2" s="183">
        <v>0.14000000000000001</v>
      </c>
      <c r="N2" s="182" t="s">
        <v>331</v>
      </c>
      <c r="O2" s="177" t="s">
        <v>332</v>
      </c>
      <c r="P2" s="177" t="s">
        <v>333</v>
      </c>
      <c r="Q2" s="177" t="s">
        <v>334</v>
      </c>
    </row>
    <row r="3" spans="1:17">
      <c r="A3" s="180" t="s">
        <v>335</v>
      </c>
      <c r="B3" s="181"/>
      <c r="C3" s="182" t="s">
        <v>336</v>
      </c>
      <c r="D3" s="180"/>
      <c r="E3" s="180"/>
      <c r="F3" s="180"/>
      <c r="G3" s="180"/>
    </row>
    <row r="4" spans="1:17" ht="25.5">
      <c r="A4" s="184">
        <v>1</v>
      </c>
      <c r="B4" s="185" t="s">
        <v>284</v>
      </c>
      <c r="C4" s="185" t="s">
        <v>178</v>
      </c>
      <c r="D4" s="184">
        <v>3</v>
      </c>
      <c r="E4" s="184" t="s">
        <v>337</v>
      </c>
      <c r="F4" s="186">
        <v>52907</v>
      </c>
      <c r="G4" s="187">
        <f t="shared" ref="G4:G8" si="0">F4*D4</f>
        <v>158721</v>
      </c>
      <c r="H4" s="188" t="s">
        <v>334</v>
      </c>
      <c r="I4" s="189">
        <v>45500</v>
      </c>
      <c r="J4" s="189">
        <f>I4*D4</f>
        <v>136500</v>
      </c>
      <c r="K4" s="190">
        <f>$K$2</f>
        <v>0.14000000000000001</v>
      </c>
      <c r="L4" s="191">
        <f>ROUND(I4/(1-K4),0)</f>
        <v>52907</v>
      </c>
      <c r="M4" s="191">
        <f>L4*D4</f>
        <v>158721</v>
      </c>
      <c r="O4" s="177">
        <v>49000</v>
      </c>
      <c r="P4" s="177">
        <v>44300</v>
      </c>
      <c r="Q4" s="177">
        <v>45500</v>
      </c>
    </row>
    <row r="5" spans="1:17" ht="25.5">
      <c r="A5" s="184">
        <v>2</v>
      </c>
      <c r="B5" s="185" t="s">
        <v>285</v>
      </c>
      <c r="C5" s="185" t="s">
        <v>179</v>
      </c>
      <c r="D5" s="184">
        <v>4</v>
      </c>
      <c r="E5" s="184" t="s">
        <v>337</v>
      </c>
      <c r="F5" s="186">
        <v>27326</v>
      </c>
      <c r="G5" s="187">
        <f t="shared" si="0"/>
        <v>109304</v>
      </c>
      <c r="H5" s="188" t="s">
        <v>334</v>
      </c>
      <c r="I5" s="189">
        <v>23500</v>
      </c>
      <c r="J5" s="189">
        <f t="shared" ref="J5:J68" si="1">I5*D5</f>
        <v>94000</v>
      </c>
      <c r="K5" s="190">
        <f t="shared" ref="K5:K68" si="2">$K$2</f>
        <v>0.14000000000000001</v>
      </c>
      <c r="L5" s="191">
        <f>ROUND(I5/(1-K5),0)</f>
        <v>27326</v>
      </c>
      <c r="M5" s="191">
        <f>L5*D5</f>
        <v>109304</v>
      </c>
      <c r="O5" s="177">
        <v>25800</v>
      </c>
      <c r="P5" s="177">
        <v>22500</v>
      </c>
      <c r="Q5" s="177">
        <v>23500</v>
      </c>
    </row>
    <row r="6" spans="1:17" ht="32.25" customHeight="1">
      <c r="A6" s="184">
        <v>3</v>
      </c>
      <c r="B6" s="185" t="s">
        <v>286</v>
      </c>
      <c r="C6" s="192" t="s">
        <v>180</v>
      </c>
      <c r="D6" s="184">
        <v>4</v>
      </c>
      <c r="E6" s="184" t="s">
        <v>337</v>
      </c>
      <c r="F6" s="186">
        <v>38372</v>
      </c>
      <c r="G6" s="187">
        <f t="shared" si="0"/>
        <v>153488</v>
      </c>
      <c r="H6" s="188" t="s">
        <v>333</v>
      </c>
      <c r="I6" s="189">
        <v>33000</v>
      </c>
      <c r="J6" s="189">
        <f t="shared" si="1"/>
        <v>132000</v>
      </c>
      <c r="K6" s="190">
        <f t="shared" si="2"/>
        <v>0.14000000000000001</v>
      </c>
      <c r="L6" s="191">
        <f t="shared" ref="L6:L79" si="3">ROUND(I6/(1-K6),0)</f>
        <v>38372</v>
      </c>
      <c r="M6" s="191">
        <f t="shared" ref="M6:M79" si="4">L6*D6</f>
        <v>153488</v>
      </c>
      <c r="O6" s="177" t="s">
        <v>338</v>
      </c>
      <c r="P6" s="177">
        <v>33000</v>
      </c>
      <c r="Q6" s="177" t="s">
        <v>338</v>
      </c>
    </row>
    <row r="7" spans="1:17" ht="53.25" customHeight="1">
      <c r="A7" s="184">
        <v>4</v>
      </c>
      <c r="B7" s="185" t="s">
        <v>287</v>
      </c>
      <c r="C7" s="192" t="s">
        <v>181</v>
      </c>
      <c r="D7" s="184">
        <v>2</v>
      </c>
      <c r="E7" s="184" t="s">
        <v>337</v>
      </c>
      <c r="F7" s="186">
        <v>134545</v>
      </c>
      <c r="G7" s="187">
        <f t="shared" si="0"/>
        <v>269090</v>
      </c>
      <c r="H7" s="188" t="s">
        <v>339</v>
      </c>
      <c r="I7" s="189">
        <f>37874+58515+19320</f>
        <v>115709</v>
      </c>
      <c r="J7" s="189">
        <f t="shared" si="1"/>
        <v>231418</v>
      </c>
      <c r="K7" s="190">
        <f t="shared" si="2"/>
        <v>0.14000000000000001</v>
      </c>
      <c r="L7" s="191">
        <f t="shared" si="3"/>
        <v>134545</v>
      </c>
      <c r="M7" s="191">
        <f t="shared" si="4"/>
        <v>269090</v>
      </c>
    </row>
    <row r="8" spans="1:17" ht="93" customHeight="1">
      <c r="A8" s="184">
        <v>5</v>
      </c>
      <c r="B8" s="185" t="s">
        <v>288</v>
      </c>
      <c r="C8" s="192" t="s">
        <v>182</v>
      </c>
      <c r="D8" s="184">
        <v>1</v>
      </c>
      <c r="E8" s="184" t="s">
        <v>337</v>
      </c>
      <c r="F8" s="186">
        <v>637209</v>
      </c>
      <c r="G8" s="187">
        <f t="shared" si="0"/>
        <v>637209</v>
      </c>
      <c r="H8" s="188" t="s">
        <v>339</v>
      </c>
      <c r="I8" s="189">
        <f>460000+88000</f>
        <v>548000</v>
      </c>
      <c r="J8" s="189">
        <f t="shared" si="1"/>
        <v>548000</v>
      </c>
      <c r="K8" s="190">
        <f t="shared" si="2"/>
        <v>0.14000000000000001</v>
      </c>
      <c r="L8" s="191">
        <f t="shared" si="3"/>
        <v>637209</v>
      </c>
      <c r="M8" s="191">
        <f t="shared" si="4"/>
        <v>637209</v>
      </c>
    </row>
    <row r="9" spans="1:17">
      <c r="A9" s="180" t="s">
        <v>340</v>
      </c>
      <c r="B9" s="193"/>
      <c r="C9" s="193" t="s">
        <v>341</v>
      </c>
      <c r="D9" s="180"/>
      <c r="E9" s="180"/>
      <c r="F9" s="180"/>
      <c r="G9" s="180"/>
      <c r="H9" s="194"/>
      <c r="I9" s="189"/>
      <c r="J9" s="189">
        <f t="shared" si="1"/>
        <v>0</v>
      </c>
      <c r="K9" s="190">
        <f t="shared" si="2"/>
        <v>0.14000000000000001</v>
      </c>
      <c r="L9" s="191">
        <f t="shared" si="3"/>
        <v>0</v>
      </c>
      <c r="M9" s="191">
        <f t="shared" si="4"/>
        <v>0</v>
      </c>
    </row>
    <row r="10" spans="1:17">
      <c r="A10" s="184">
        <v>1</v>
      </c>
      <c r="B10" s="195" t="s">
        <v>289</v>
      </c>
      <c r="C10" s="188" t="s">
        <v>193</v>
      </c>
      <c r="D10" s="184">
        <v>4</v>
      </c>
      <c r="E10" s="184" t="s">
        <v>337</v>
      </c>
      <c r="F10" s="196">
        <v>6071</v>
      </c>
      <c r="G10" s="187">
        <f>F10*D10</f>
        <v>24284</v>
      </c>
      <c r="H10" s="194" t="s">
        <v>342</v>
      </c>
      <c r="I10" s="189">
        <v>4250</v>
      </c>
      <c r="J10" s="189">
        <f t="shared" si="1"/>
        <v>17000</v>
      </c>
      <c r="K10" s="190">
        <f t="shared" si="2"/>
        <v>0.14000000000000001</v>
      </c>
      <c r="L10" s="191">
        <f t="shared" si="3"/>
        <v>4942</v>
      </c>
      <c r="M10" s="191">
        <f t="shared" si="4"/>
        <v>19768</v>
      </c>
    </row>
    <row r="11" spans="1:17">
      <c r="A11" s="184">
        <v>2</v>
      </c>
      <c r="B11" s="195" t="s">
        <v>289</v>
      </c>
      <c r="C11" s="188" t="s">
        <v>194</v>
      </c>
      <c r="D11" s="184">
        <v>4</v>
      </c>
      <c r="E11" s="184" t="s">
        <v>337</v>
      </c>
      <c r="F11" s="186">
        <v>2035</v>
      </c>
      <c r="G11" s="187">
        <f>F11*D11</f>
        <v>8140</v>
      </c>
      <c r="H11" s="194" t="s">
        <v>342</v>
      </c>
      <c r="I11" s="189">
        <v>1750</v>
      </c>
      <c r="J11" s="189">
        <f t="shared" si="1"/>
        <v>7000</v>
      </c>
      <c r="K11" s="190">
        <f t="shared" si="2"/>
        <v>0.14000000000000001</v>
      </c>
      <c r="L11" s="191">
        <f t="shared" si="3"/>
        <v>2035</v>
      </c>
      <c r="M11" s="191">
        <f t="shared" si="4"/>
        <v>8140</v>
      </c>
    </row>
    <row r="12" spans="1:17">
      <c r="A12" s="184">
        <v>3</v>
      </c>
      <c r="B12" s="195" t="s">
        <v>290</v>
      </c>
      <c r="C12" s="188" t="s">
        <v>195</v>
      </c>
      <c r="D12" s="184">
        <v>4</v>
      </c>
      <c r="E12" s="184" t="s">
        <v>337</v>
      </c>
      <c r="F12" s="186">
        <v>4406</v>
      </c>
      <c r="G12" s="187">
        <f t="shared" ref="G12:G14" si="5">F12*D12</f>
        <v>17624</v>
      </c>
      <c r="H12" s="194" t="s">
        <v>342</v>
      </c>
      <c r="I12" s="187">
        <v>3789</v>
      </c>
      <c r="J12" s="189">
        <f t="shared" si="1"/>
        <v>15156</v>
      </c>
      <c r="K12" s="190">
        <f t="shared" si="2"/>
        <v>0.14000000000000001</v>
      </c>
      <c r="L12" s="191">
        <f t="shared" si="3"/>
        <v>4406</v>
      </c>
      <c r="M12" s="191">
        <f t="shared" si="4"/>
        <v>17624</v>
      </c>
    </row>
    <row r="13" spans="1:17">
      <c r="A13" s="184">
        <v>4</v>
      </c>
      <c r="B13" s="195" t="s">
        <v>290</v>
      </c>
      <c r="C13" s="188" t="s">
        <v>196</v>
      </c>
      <c r="D13" s="184">
        <v>8</v>
      </c>
      <c r="E13" s="184" t="s">
        <v>337</v>
      </c>
      <c r="F13" s="186">
        <v>988</v>
      </c>
      <c r="G13" s="187">
        <f t="shared" si="5"/>
        <v>7904</v>
      </c>
      <c r="H13" s="194" t="s">
        <v>342</v>
      </c>
      <c r="I13" s="187">
        <v>850</v>
      </c>
      <c r="J13" s="189">
        <f t="shared" si="1"/>
        <v>6800</v>
      </c>
      <c r="K13" s="190">
        <f t="shared" si="2"/>
        <v>0.14000000000000001</v>
      </c>
      <c r="L13" s="191">
        <f t="shared" si="3"/>
        <v>988</v>
      </c>
      <c r="M13" s="191">
        <f t="shared" si="4"/>
        <v>7904</v>
      </c>
    </row>
    <row r="14" spans="1:17">
      <c r="A14" s="184">
        <v>5</v>
      </c>
      <c r="B14" s="195" t="s">
        <v>291</v>
      </c>
      <c r="C14" s="197" t="s">
        <v>197</v>
      </c>
      <c r="D14" s="184">
        <v>100</v>
      </c>
      <c r="E14" s="184" t="s">
        <v>343</v>
      </c>
      <c r="F14" s="186">
        <v>52</v>
      </c>
      <c r="G14" s="187">
        <f t="shared" si="5"/>
        <v>5200</v>
      </c>
      <c r="H14" s="194" t="s">
        <v>342</v>
      </c>
      <c r="I14" s="187">
        <v>45</v>
      </c>
      <c r="J14" s="189">
        <f t="shared" si="1"/>
        <v>4500</v>
      </c>
      <c r="K14" s="190">
        <f t="shared" si="2"/>
        <v>0.14000000000000001</v>
      </c>
      <c r="L14" s="191">
        <f t="shared" si="3"/>
        <v>52</v>
      </c>
      <c r="M14" s="191">
        <f t="shared" si="4"/>
        <v>5200</v>
      </c>
    </row>
    <row r="15" spans="1:17">
      <c r="A15" s="180" t="s">
        <v>344</v>
      </c>
      <c r="B15" s="198"/>
      <c r="C15" s="180" t="s">
        <v>311</v>
      </c>
      <c r="D15" s="199"/>
      <c r="E15" s="199"/>
      <c r="F15" s="180"/>
      <c r="G15" s="180"/>
      <c r="H15" s="194"/>
      <c r="I15" s="189"/>
      <c r="J15" s="189">
        <f t="shared" si="1"/>
        <v>0</v>
      </c>
      <c r="K15" s="190">
        <f t="shared" si="2"/>
        <v>0.14000000000000001</v>
      </c>
      <c r="L15" s="191">
        <f t="shared" si="3"/>
        <v>0</v>
      </c>
      <c r="M15" s="191">
        <f t="shared" si="4"/>
        <v>0</v>
      </c>
    </row>
    <row r="16" spans="1:17">
      <c r="A16" s="184">
        <v>1</v>
      </c>
      <c r="B16" s="195" t="s">
        <v>292</v>
      </c>
      <c r="C16" s="195" t="s">
        <v>203</v>
      </c>
      <c r="D16" s="184">
        <v>50</v>
      </c>
      <c r="E16" s="184" t="s">
        <v>337</v>
      </c>
      <c r="F16" s="186">
        <v>4563</v>
      </c>
      <c r="G16" s="187">
        <f t="shared" ref="G16:G20" si="6">F16*D16</f>
        <v>228150</v>
      </c>
      <c r="H16" s="194"/>
      <c r="I16" s="189">
        <v>2763</v>
      </c>
      <c r="J16" s="189">
        <f t="shared" si="1"/>
        <v>138150</v>
      </c>
      <c r="K16" s="190">
        <f t="shared" si="2"/>
        <v>0.14000000000000001</v>
      </c>
      <c r="L16" s="191">
        <f t="shared" si="3"/>
        <v>3213</v>
      </c>
      <c r="M16" s="191">
        <f t="shared" si="4"/>
        <v>160650</v>
      </c>
    </row>
    <row r="17" spans="1:13">
      <c r="A17" s="184">
        <v>2</v>
      </c>
      <c r="B17" s="195" t="s">
        <v>292</v>
      </c>
      <c r="C17" s="195" t="s">
        <v>204</v>
      </c>
      <c r="D17" s="184">
        <v>1</v>
      </c>
      <c r="E17" s="184" t="s">
        <v>337</v>
      </c>
      <c r="F17" s="186">
        <v>46962</v>
      </c>
      <c r="G17" s="187">
        <f t="shared" si="6"/>
        <v>46962</v>
      </c>
      <c r="H17" s="194"/>
      <c r="I17" s="189">
        <v>40387</v>
      </c>
      <c r="J17" s="189">
        <f t="shared" si="1"/>
        <v>40387</v>
      </c>
      <c r="K17" s="190">
        <f t="shared" si="2"/>
        <v>0.14000000000000001</v>
      </c>
      <c r="L17" s="191">
        <f t="shared" si="3"/>
        <v>46962</v>
      </c>
      <c r="M17" s="191">
        <f t="shared" si="4"/>
        <v>46962</v>
      </c>
    </row>
    <row r="18" spans="1:13">
      <c r="A18" s="184">
        <v>3</v>
      </c>
      <c r="B18" s="195" t="s">
        <v>293</v>
      </c>
      <c r="C18" s="195" t="s">
        <v>205</v>
      </c>
      <c r="D18" s="184">
        <v>4</v>
      </c>
      <c r="E18" s="184" t="s">
        <v>337</v>
      </c>
      <c r="F18" s="186">
        <v>45291</v>
      </c>
      <c r="G18" s="187">
        <f t="shared" si="6"/>
        <v>181164</v>
      </c>
      <c r="H18" s="194"/>
      <c r="I18" s="189">
        <v>38950</v>
      </c>
      <c r="J18" s="189">
        <f t="shared" si="1"/>
        <v>155800</v>
      </c>
      <c r="K18" s="190">
        <f t="shared" si="2"/>
        <v>0.14000000000000001</v>
      </c>
      <c r="L18" s="191">
        <f t="shared" si="3"/>
        <v>45291</v>
      </c>
      <c r="M18" s="191">
        <f t="shared" si="4"/>
        <v>181164</v>
      </c>
    </row>
    <row r="19" spans="1:13">
      <c r="A19" s="184">
        <v>4</v>
      </c>
      <c r="B19" s="195" t="s">
        <v>290</v>
      </c>
      <c r="C19" s="195" t="s">
        <v>206</v>
      </c>
      <c r="D19" s="184">
        <v>50</v>
      </c>
      <c r="E19" s="184" t="s">
        <v>337</v>
      </c>
      <c r="F19" s="186">
        <v>105</v>
      </c>
      <c r="G19" s="187">
        <f t="shared" si="6"/>
        <v>5250</v>
      </c>
      <c r="H19" s="194"/>
      <c r="I19" s="189">
        <v>90</v>
      </c>
      <c r="J19" s="189">
        <f t="shared" si="1"/>
        <v>4500</v>
      </c>
      <c r="K19" s="190">
        <f t="shared" si="2"/>
        <v>0.14000000000000001</v>
      </c>
      <c r="L19" s="191">
        <f t="shared" si="3"/>
        <v>105</v>
      </c>
      <c r="M19" s="191">
        <f t="shared" si="4"/>
        <v>5250</v>
      </c>
    </row>
    <row r="20" spans="1:13">
      <c r="A20" s="184">
        <v>5</v>
      </c>
      <c r="B20" s="195" t="s">
        <v>290</v>
      </c>
      <c r="C20" s="195" t="s">
        <v>207</v>
      </c>
      <c r="D20" s="184">
        <v>20</v>
      </c>
      <c r="E20" s="184" t="s">
        <v>337</v>
      </c>
      <c r="F20" s="186">
        <v>581</v>
      </c>
      <c r="G20" s="187">
        <f t="shared" si="6"/>
        <v>11620</v>
      </c>
      <c r="H20" s="194"/>
      <c r="I20" s="189">
        <v>500</v>
      </c>
      <c r="J20" s="189">
        <f t="shared" si="1"/>
        <v>10000</v>
      </c>
      <c r="K20" s="190">
        <f t="shared" si="2"/>
        <v>0.14000000000000001</v>
      </c>
      <c r="L20" s="191">
        <f t="shared" si="3"/>
        <v>581</v>
      </c>
      <c r="M20" s="191">
        <f t="shared" si="4"/>
        <v>11620</v>
      </c>
    </row>
    <row r="21" spans="1:13">
      <c r="A21" s="180" t="s">
        <v>345</v>
      </c>
      <c r="B21" s="198"/>
      <c r="C21" s="180" t="s">
        <v>346</v>
      </c>
      <c r="D21" s="199"/>
      <c r="E21" s="199"/>
      <c r="F21" s="180"/>
      <c r="G21" s="180"/>
      <c r="H21" s="194"/>
      <c r="I21" s="189"/>
      <c r="J21" s="189">
        <f t="shared" si="1"/>
        <v>0</v>
      </c>
      <c r="K21" s="190">
        <f t="shared" si="2"/>
        <v>0.14000000000000001</v>
      </c>
      <c r="L21" s="191">
        <f t="shared" si="3"/>
        <v>0</v>
      </c>
      <c r="M21" s="191">
        <f t="shared" si="4"/>
        <v>0</v>
      </c>
    </row>
    <row r="22" spans="1:13">
      <c r="A22" s="184">
        <v>1</v>
      </c>
      <c r="B22" s="195" t="s">
        <v>294</v>
      </c>
      <c r="C22" s="195" t="s">
        <v>211</v>
      </c>
      <c r="D22" s="184">
        <v>3</v>
      </c>
      <c r="E22" s="184" t="s">
        <v>337</v>
      </c>
      <c r="F22" s="186">
        <v>84884</v>
      </c>
      <c r="G22" s="187">
        <f t="shared" ref="G22:G24" si="7">F22*D22</f>
        <v>254652</v>
      </c>
      <c r="H22" s="194" t="s">
        <v>347</v>
      </c>
      <c r="I22" s="189">
        <v>73000</v>
      </c>
      <c r="J22" s="189">
        <f t="shared" si="1"/>
        <v>219000</v>
      </c>
      <c r="K22" s="190">
        <f t="shared" si="2"/>
        <v>0.14000000000000001</v>
      </c>
      <c r="L22" s="191">
        <f t="shared" si="3"/>
        <v>84884</v>
      </c>
      <c r="M22" s="191">
        <f t="shared" si="4"/>
        <v>254652</v>
      </c>
    </row>
    <row r="23" spans="1:13">
      <c r="A23" s="184">
        <v>2</v>
      </c>
      <c r="B23" s="195" t="s">
        <v>295</v>
      </c>
      <c r="C23" s="195" t="s">
        <v>212</v>
      </c>
      <c r="D23" s="184">
        <v>2</v>
      </c>
      <c r="E23" s="184" t="s">
        <v>337</v>
      </c>
      <c r="F23" s="186">
        <v>9012</v>
      </c>
      <c r="G23" s="187">
        <f t="shared" si="7"/>
        <v>18024</v>
      </c>
      <c r="H23" s="194" t="s">
        <v>295</v>
      </c>
      <c r="I23" s="189">
        <v>7750</v>
      </c>
      <c r="J23" s="189">
        <f t="shared" si="1"/>
        <v>15500</v>
      </c>
      <c r="K23" s="190">
        <f t="shared" si="2"/>
        <v>0.14000000000000001</v>
      </c>
      <c r="L23" s="191">
        <f t="shared" si="3"/>
        <v>9012</v>
      </c>
      <c r="M23" s="191">
        <f t="shared" si="4"/>
        <v>18024</v>
      </c>
    </row>
    <row r="24" spans="1:13" ht="14.45" customHeight="1">
      <c r="A24" s="184">
        <v>3</v>
      </c>
      <c r="B24" s="195" t="s">
        <v>295</v>
      </c>
      <c r="C24" s="195" t="s">
        <v>213</v>
      </c>
      <c r="D24" s="184">
        <v>3</v>
      </c>
      <c r="E24" s="184" t="s">
        <v>337</v>
      </c>
      <c r="F24" s="186">
        <v>11628</v>
      </c>
      <c r="G24" s="187">
        <f t="shared" si="7"/>
        <v>34884</v>
      </c>
      <c r="H24" s="194" t="s">
        <v>295</v>
      </c>
      <c r="I24" s="189">
        <v>10000</v>
      </c>
      <c r="J24" s="189">
        <f t="shared" si="1"/>
        <v>30000</v>
      </c>
      <c r="K24" s="190">
        <f t="shared" si="2"/>
        <v>0.14000000000000001</v>
      </c>
      <c r="L24" s="191">
        <f t="shared" si="3"/>
        <v>11628</v>
      </c>
      <c r="M24" s="191">
        <f t="shared" si="4"/>
        <v>34884</v>
      </c>
    </row>
    <row r="25" spans="1:13">
      <c r="A25" s="180" t="s">
        <v>348</v>
      </c>
      <c r="B25" s="198"/>
      <c r="C25" s="180" t="s">
        <v>349</v>
      </c>
      <c r="D25" s="199"/>
      <c r="E25" s="199"/>
      <c r="F25" s="180"/>
      <c r="G25" s="180"/>
      <c r="H25" s="194"/>
      <c r="I25" s="189"/>
      <c r="J25" s="189">
        <f t="shared" si="1"/>
        <v>0</v>
      </c>
      <c r="K25" s="190">
        <f t="shared" si="2"/>
        <v>0.14000000000000001</v>
      </c>
      <c r="L25" s="191">
        <f t="shared" si="3"/>
        <v>0</v>
      </c>
      <c r="M25" s="191">
        <f t="shared" si="4"/>
        <v>0</v>
      </c>
    </row>
    <row r="26" spans="1:13">
      <c r="A26" s="184">
        <v>1</v>
      </c>
      <c r="B26" s="185" t="s">
        <v>296</v>
      </c>
      <c r="C26" s="195" t="s">
        <v>220</v>
      </c>
      <c r="D26" s="184">
        <v>1</v>
      </c>
      <c r="E26" s="184" t="s">
        <v>337</v>
      </c>
      <c r="F26" s="186">
        <v>106977</v>
      </c>
      <c r="G26" s="187">
        <f t="shared" ref="G26:G31" si="8">F26*D26</f>
        <v>106977</v>
      </c>
      <c r="H26" s="194" t="s">
        <v>350</v>
      </c>
      <c r="I26" s="189">
        <v>92000</v>
      </c>
      <c r="J26" s="189">
        <f t="shared" si="1"/>
        <v>92000</v>
      </c>
      <c r="K26" s="190">
        <f t="shared" si="2"/>
        <v>0.14000000000000001</v>
      </c>
      <c r="L26" s="191">
        <f t="shared" si="3"/>
        <v>106977</v>
      </c>
      <c r="M26" s="191">
        <f t="shared" si="4"/>
        <v>106977</v>
      </c>
    </row>
    <row r="27" spans="1:13">
      <c r="A27" s="184">
        <v>2</v>
      </c>
      <c r="B27" s="185" t="s">
        <v>296</v>
      </c>
      <c r="C27" s="200" t="s">
        <v>221</v>
      </c>
      <c r="D27" s="184">
        <v>1</v>
      </c>
      <c r="E27" s="184" t="s">
        <v>337</v>
      </c>
      <c r="F27" s="186">
        <v>16279</v>
      </c>
      <c r="G27" s="187">
        <f t="shared" si="8"/>
        <v>16279</v>
      </c>
      <c r="H27" s="194" t="s">
        <v>350</v>
      </c>
      <c r="I27" s="189">
        <v>14000</v>
      </c>
      <c r="J27" s="189">
        <f t="shared" si="1"/>
        <v>14000</v>
      </c>
      <c r="K27" s="190">
        <f t="shared" si="2"/>
        <v>0.14000000000000001</v>
      </c>
      <c r="L27" s="191">
        <f t="shared" si="3"/>
        <v>16279</v>
      </c>
      <c r="M27" s="191">
        <f t="shared" si="4"/>
        <v>16279</v>
      </c>
    </row>
    <row r="28" spans="1:13">
      <c r="A28" s="184">
        <v>3</v>
      </c>
      <c r="B28" s="185" t="s">
        <v>296</v>
      </c>
      <c r="C28" s="195" t="s">
        <v>222</v>
      </c>
      <c r="D28" s="184">
        <v>1</v>
      </c>
      <c r="E28" s="184" t="s">
        <v>337</v>
      </c>
      <c r="F28" s="186">
        <v>44767</v>
      </c>
      <c r="G28" s="187">
        <f t="shared" si="8"/>
        <v>44767</v>
      </c>
      <c r="H28" s="194" t="s">
        <v>350</v>
      </c>
      <c r="I28" s="189">
        <v>38500</v>
      </c>
      <c r="J28" s="189">
        <f t="shared" si="1"/>
        <v>38500</v>
      </c>
      <c r="K28" s="190">
        <f t="shared" si="2"/>
        <v>0.14000000000000001</v>
      </c>
      <c r="L28" s="191">
        <f t="shared" si="3"/>
        <v>44767</v>
      </c>
      <c r="M28" s="191">
        <f t="shared" si="4"/>
        <v>44767</v>
      </c>
    </row>
    <row r="29" spans="1:13">
      <c r="A29" s="184">
        <v>4</v>
      </c>
      <c r="B29" s="185" t="s">
        <v>296</v>
      </c>
      <c r="C29" s="195" t="s">
        <v>223</v>
      </c>
      <c r="D29" s="184">
        <v>8</v>
      </c>
      <c r="E29" s="184" t="s">
        <v>337</v>
      </c>
      <c r="F29" s="186">
        <v>610</v>
      </c>
      <c r="G29" s="187">
        <f t="shared" si="8"/>
        <v>4880</v>
      </c>
      <c r="H29" s="194" t="s">
        <v>350</v>
      </c>
      <c r="I29" s="189">
        <v>525</v>
      </c>
      <c r="J29" s="189">
        <f t="shared" si="1"/>
        <v>4200</v>
      </c>
      <c r="K29" s="190">
        <f t="shared" si="2"/>
        <v>0.14000000000000001</v>
      </c>
      <c r="L29" s="191">
        <f t="shared" si="3"/>
        <v>610</v>
      </c>
      <c r="M29" s="191">
        <f t="shared" si="4"/>
        <v>4880</v>
      </c>
    </row>
    <row r="30" spans="1:13">
      <c r="A30" s="184">
        <v>5</v>
      </c>
      <c r="B30" s="185" t="s">
        <v>296</v>
      </c>
      <c r="C30" s="195" t="s">
        <v>224</v>
      </c>
      <c r="D30" s="184">
        <v>20</v>
      </c>
      <c r="E30" s="184" t="s">
        <v>337</v>
      </c>
      <c r="F30" s="186">
        <v>4012</v>
      </c>
      <c r="G30" s="187">
        <f t="shared" si="8"/>
        <v>80240</v>
      </c>
      <c r="H30" s="194" t="s">
        <v>350</v>
      </c>
      <c r="I30" s="189">
        <v>3450</v>
      </c>
      <c r="J30" s="189">
        <f t="shared" si="1"/>
        <v>69000</v>
      </c>
      <c r="K30" s="190">
        <f t="shared" si="2"/>
        <v>0.14000000000000001</v>
      </c>
      <c r="L30" s="191">
        <f t="shared" si="3"/>
        <v>4012</v>
      </c>
      <c r="M30" s="191">
        <f t="shared" si="4"/>
        <v>80240</v>
      </c>
    </row>
    <row r="31" spans="1:13">
      <c r="A31" s="184">
        <v>6</v>
      </c>
      <c r="B31" s="185" t="s">
        <v>290</v>
      </c>
      <c r="C31" s="195" t="s">
        <v>225</v>
      </c>
      <c r="D31" s="184">
        <v>800</v>
      </c>
      <c r="E31" s="184" t="s">
        <v>351</v>
      </c>
      <c r="F31" s="186">
        <v>53</v>
      </c>
      <c r="G31" s="187">
        <f t="shared" si="8"/>
        <v>42400</v>
      </c>
      <c r="H31" s="194" t="s">
        <v>350</v>
      </c>
      <c r="I31" s="189">
        <v>46</v>
      </c>
      <c r="J31" s="189">
        <f t="shared" si="1"/>
        <v>36800</v>
      </c>
      <c r="K31" s="190">
        <f t="shared" si="2"/>
        <v>0.14000000000000001</v>
      </c>
      <c r="L31" s="191">
        <f t="shared" si="3"/>
        <v>53</v>
      </c>
      <c r="M31" s="191">
        <f t="shared" si="4"/>
        <v>42400</v>
      </c>
    </row>
    <row r="32" spans="1:13">
      <c r="A32" s="180" t="s">
        <v>352</v>
      </c>
      <c r="B32" s="198"/>
      <c r="C32" s="180" t="s">
        <v>353</v>
      </c>
      <c r="D32" s="199"/>
      <c r="E32" s="199"/>
      <c r="F32" s="180"/>
      <c r="G32" s="180"/>
      <c r="H32" s="194"/>
      <c r="I32" s="189"/>
      <c r="J32" s="189">
        <f t="shared" si="1"/>
        <v>0</v>
      </c>
      <c r="K32" s="190">
        <f t="shared" si="2"/>
        <v>0.14000000000000001</v>
      </c>
      <c r="L32" s="191">
        <f t="shared" si="3"/>
        <v>0</v>
      </c>
      <c r="M32" s="191">
        <f t="shared" si="4"/>
        <v>0</v>
      </c>
    </row>
    <row r="33" spans="1:15">
      <c r="A33" s="184">
        <v>1</v>
      </c>
      <c r="B33" s="195" t="s">
        <v>297</v>
      </c>
      <c r="C33" s="195" t="s">
        <v>237</v>
      </c>
      <c r="D33" s="184">
        <v>36</v>
      </c>
      <c r="E33" s="184" t="s">
        <v>354</v>
      </c>
      <c r="F33" s="186">
        <v>10698</v>
      </c>
      <c r="G33" s="187">
        <f t="shared" ref="G33:G43" si="9">F33*D33</f>
        <v>385128</v>
      </c>
      <c r="H33" s="189" t="s">
        <v>339</v>
      </c>
      <c r="I33" s="189">
        <v>9200</v>
      </c>
      <c r="J33" s="189">
        <f t="shared" si="1"/>
        <v>331200</v>
      </c>
      <c r="K33" s="190">
        <f t="shared" si="2"/>
        <v>0.14000000000000001</v>
      </c>
      <c r="L33" s="191">
        <f t="shared" si="3"/>
        <v>10698</v>
      </c>
      <c r="M33" s="191">
        <f t="shared" si="4"/>
        <v>385128</v>
      </c>
      <c r="N33" s="177">
        <f>151*70</f>
        <v>10570</v>
      </c>
      <c r="O33" s="177">
        <f>N33/305</f>
        <v>34.655737704918032</v>
      </c>
    </row>
    <row r="34" spans="1:15">
      <c r="A34" s="184">
        <v>2</v>
      </c>
      <c r="B34" s="195" t="s">
        <v>297</v>
      </c>
      <c r="C34" s="195" t="s">
        <v>238</v>
      </c>
      <c r="D34" s="184">
        <v>100</v>
      </c>
      <c r="E34" s="184" t="s">
        <v>337</v>
      </c>
      <c r="F34" s="186">
        <v>192</v>
      </c>
      <c r="G34" s="187">
        <f t="shared" si="9"/>
        <v>19200</v>
      </c>
      <c r="H34" s="189" t="s">
        <v>339</v>
      </c>
      <c r="I34" s="189">
        <v>165</v>
      </c>
      <c r="J34" s="189">
        <f t="shared" si="1"/>
        <v>16500</v>
      </c>
      <c r="K34" s="190">
        <f t="shared" si="2"/>
        <v>0.14000000000000001</v>
      </c>
      <c r="L34" s="191">
        <f t="shared" si="3"/>
        <v>192</v>
      </c>
      <c r="M34" s="191">
        <f t="shared" si="4"/>
        <v>19200</v>
      </c>
    </row>
    <row r="35" spans="1:15">
      <c r="A35" s="184">
        <v>3</v>
      </c>
      <c r="B35" s="195" t="s">
        <v>297</v>
      </c>
      <c r="C35" s="195" t="s">
        <v>239</v>
      </c>
      <c r="D35" s="184">
        <v>7</v>
      </c>
      <c r="E35" s="184" t="s">
        <v>337</v>
      </c>
      <c r="F35" s="186">
        <v>5058</v>
      </c>
      <c r="G35" s="187">
        <f t="shared" si="9"/>
        <v>35406</v>
      </c>
      <c r="H35" s="189" t="s">
        <v>339</v>
      </c>
      <c r="I35" s="189">
        <v>4350</v>
      </c>
      <c r="J35" s="189">
        <f t="shared" si="1"/>
        <v>30450</v>
      </c>
      <c r="K35" s="190">
        <f t="shared" si="2"/>
        <v>0.14000000000000001</v>
      </c>
      <c r="L35" s="191">
        <f t="shared" si="3"/>
        <v>5058</v>
      </c>
      <c r="M35" s="191">
        <f t="shared" si="4"/>
        <v>35406</v>
      </c>
    </row>
    <row r="36" spans="1:15">
      <c r="A36" s="184">
        <v>4</v>
      </c>
      <c r="B36" s="195" t="s">
        <v>297</v>
      </c>
      <c r="C36" s="185" t="s">
        <v>240</v>
      </c>
      <c r="D36" s="184">
        <v>110</v>
      </c>
      <c r="E36" s="184" t="s">
        <v>337</v>
      </c>
      <c r="F36" s="186">
        <v>192</v>
      </c>
      <c r="G36" s="187">
        <f t="shared" si="9"/>
        <v>21120</v>
      </c>
      <c r="H36" s="189" t="s">
        <v>339</v>
      </c>
      <c r="I36" s="189">
        <v>165</v>
      </c>
      <c r="J36" s="189">
        <f t="shared" si="1"/>
        <v>18150</v>
      </c>
      <c r="K36" s="190">
        <f t="shared" si="2"/>
        <v>0.14000000000000001</v>
      </c>
      <c r="L36" s="191">
        <f t="shared" si="3"/>
        <v>192</v>
      </c>
      <c r="M36" s="191">
        <f t="shared" si="4"/>
        <v>21120</v>
      </c>
    </row>
    <row r="37" spans="1:15">
      <c r="A37" s="184">
        <v>5</v>
      </c>
      <c r="B37" s="195" t="s">
        <v>297</v>
      </c>
      <c r="C37" s="185" t="s">
        <v>241</v>
      </c>
      <c r="D37" s="184">
        <v>160</v>
      </c>
      <c r="E37" s="184" t="s">
        <v>337</v>
      </c>
      <c r="F37" s="186">
        <v>163</v>
      </c>
      <c r="G37" s="187">
        <f t="shared" si="9"/>
        <v>26080</v>
      </c>
      <c r="H37" s="189" t="s">
        <v>339</v>
      </c>
      <c r="I37" s="189">
        <v>140</v>
      </c>
      <c r="J37" s="189">
        <f t="shared" si="1"/>
        <v>22400</v>
      </c>
      <c r="K37" s="190">
        <f t="shared" si="2"/>
        <v>0.14000000000000001</v>
      </c>
      <c r="L37" s="191">
        <f t="shared" si="3"/>
        <v>163</v>
      </c>
      <c r="M37" s="191">
        <f t="shared" si="4"/>
        <v>26080</v>
      </c>
      <c r="N37" s="177" t="s">
        <v>355</v>
      </c>
    </row>
    <row r="38" spans="1:15">
      <c r="A38" s="184">
        <v>6</v>
      </c>
      <c r="B38" s="195" t="s">
        <v>297</v>
      </c>
      <c r="C38" s="185" t="s">
        <v>242</v>
      </c>
      <c r="D38" s="184">
        <v>100</v>
      </c>
      <c r="E38" s="184" t="s">
        <v>337</v>
      </c>
      <c r="F38" s="186">
        <v>64</v>
      </c>
      <c r="G38" s="187">
        <f t="shared" si="9"/>
        <v>6400</v>
      </c>
      <c r="H38" s="189" t="s">
        <v>339</v>
      </c>
      <c r="I38" s="189">
        <v>55</v>
      </c>
      <c r="J38" s="189">
        <f t="shared" si="1"/>
        <v>5500</v>
      </c>
      <c r="K38" s="190">
        <f t="shared" si="2"/>
        <v>0.14000000000000001</v>
      </c>
      <c r="L38" s="191">
        <f t="shared" si="3"/>
        <v>64</v>
      </c>
      <c r="M38" s="191">
        <f t="shared" si="4"/>
        <v>6400</v>
      </c>
    </row>
    <row r="39" spans="1:15">
      <c r="A39" s="184">
        <v>7</v>
      </c>
      <c r="B39" s="195" t="s">
        <v>290</v>
      </c>
      <c r="C39" s="201" t="s">
        <v>243</v>
      </c>
      <c r="D39" s="184">
        <v>100</v>
      </c>
      <c r="E39" s="184" t="s">
        <v>337</v>
      </c>
      <c r="F39" s="186">
        <v>58</v>
      </c>
      <c r="G39" s="187">
        <f t="shared" si="9"/>
        <v>5800</v>
      </c>
      <c r="H39" s="189" t="s">
        <v>356</v>
      </c>
      <c r="I39" s="189">
        <v>40</v>
      </c>
      <c r="J39" s="189">
        <f t="shared" si="1"/>
        <v>4000</v>
      </c>
      <c r="K39" s="190">
        <f t="shared" si="2"/>
        <v>0.14000000000000001</v>
      </c>
      <c r="L39" s="191">
        <f t="shared" si="3"/>
        <v>47</v>
      </c>
      <c r="M39" s="191">
        <f t="shared" si="4"/>
        <v>4700</v>
      </c>
    </row>
    <row r="40" spans="1:15">
      <c r="A40" s="184">
        <v>8</v>
      </c>
      <c r="B40" s="195" t="s">
        <v>290</v>
      </c>
      <c r="C40" s="188" t="s">
        <v>357</v>
      </c>
      <c r="D40" s="184">
        <v>3</v>
      </c>
      <c r="E40" s="184" t="s">
        <v>358</v>
      </c>
      <c r="F40" s="186">
        <v>1087</v>
      </c>
      <c r="G40" s="187">
        <f t="shared" si="9"/>
        <v>3261</v>
      </c>
      <c r="H40" s="189" t="s">
        <v>356</v>
      </c>
      <c r="I40" s="189">
        <v>935</v>
      </c>
      <c r="J40" s="189">
        <f t="shared" si="1"/>
        <v>2805</v>
      </c>
      <c r="K40" s="190">
        <f t="shared" si="2"/>
        <v>0.14000000000000001</v>
      </c>
      <c r="L40" s="191">
        <f t="shared" si="3"/>
        <v>1087</v>
      </c>
      <c r="M40" s="191">
        <f t="shared" si="4"/>
        <v>3261</v>
      </c>
    </row>
    <row r="41" spans="1:15">
      <c r="A41" s="184">
        <v>14</v>
      </c>
      <c r="B41" s="195" t="s">
        <v>290</v>
      </c>
      <c r="C41" s="188" t="s">
        <v>359</v>
      </c>
      <c r="D41" s="184">
        <v>1950</v>
      </c>
      <c r="E41" s="184" t="s">
        <v>351</v>
      </c>
      <c r="F41" s="186">
        <v>52</v>
      </c>
      <c r="G41" s="187">
        <f t="shared" si="9"/>
        <v>101400</v>
      </c>
      <c r="H41" s="189" t="s">
        <v>356</v>
      </c>
      <c r="I41" s="189">
        <v>31</v>
      </c>
      <c r="J41" s="189">
        <f t="shared" si="1"/>
        <v>60450</v>
      </c>
      <c r="K41" s="190">
        <f t="shared" si="2"/>
        <v>0.14000000000000001</v>
      </c>
      <c r="L41" s="191">
        <f t="shared" si="3"/>
        <v>36</v>
      </c>
      <c r="M41" s="191">
        <f t="shared" si="4"/>
        <v>70200</v>
      </c>
    </row>
    <row r="42" spans="1:15">
      <c r="A42" s="184">
        <v>10</v>
      </c>
      <c r="B42" s="195" t="s">
        <v>290</v>
      </c>
      <c r="C42" s="188" t="s">
        <v>246</v>
      </c>
      <c r="D42" s="184">
        <v>5</v>
      </c>
      <c r="E42" s="184" t="s">
        <v>360</v>
      </c>
      <c r="F42" s="186">
        <v>2209</v>
      </c>
      <c r="G42" s="187">
        <f t="shared" si="9"/>
        <v>11045</v>
      </c>
      <c r="H42" s="189" t="s">
        <v>356</v>
      </c>
      <c r="I42" s="189">
        <v>1900</v>
      </c>
      <c r="J42" s="189">
        <f t="shared" si="1"/>
        <v>9500</v>
      </c>
      <c r="K42" s="190">
        <f t="shared" si="2"/>
        <v>0.14000000000000001</v>
      </c>
      <c r="L42" s="191">
        <f t="shared" si="3"/>
        <v>2209</v>
      </c>
      <c r="M42" s="191">
        <f t="shared" si="4"/>
        <v>11045</v>
      </c>
    </row>
    <row r="43" spans="1:15">
      <c r="A43" s="184">
        <v>11</v>
      </c>
      <c r="B43" s="195" t="s">
        <v>290</v>
      </c>
      <c r="C43" s="188" t="s">
        <v>247</v>
      </c>
      <c r="D43" s="184">
        <v>5</v>
      </c>
      <c r="E43" s="184" t="s">
        <v>360</v>
      </c>
      <c r="F43" s="186">
        <v>221</v>
      </c>
      <c r="G43" s="187">
        <f t="shared" si="9"/>
        <v>1105</v>
      </c>
      <c r="H43" s="189" t="s">
        <v>356</v>
      </c>
      <c r="I43" s="189">
        <v>190</v>
      </c>
      <c r="J43" s="189">
        <f t="shared" si="1"/>
        <v>950</v>
      </c>
      <c r="K43" s="190">
        <f t="shared" si="2"/>
        <v>0.14000000000000001</v>
      </c>
      <c r="L43" s="191">
        <f t="shared" si="3"/>
        <v>221</v>
      </c>
      <c r="M43" s="191">
        <f t="shared" si="4"/>
        <v>1105</v>
      </c>
    </row>
    <row r="44" spans="1:15">
      <c r="A44" s="180" t="s">
        <v>361</v>
      </c>
      <c r="B44" s="198"/>
      <c r="C44" s="180" t="s">
        <v>362</v>
      </c>
      <c r="D44" s="199"/>
      <c r="E44" s="199"/>
      <c r="F44" s="180"/>
      <c r="G44" s="180"/>
      <c r="H44" s="194"/>
      <c r="I44" s="189"/>
      <c r="J44" s="189">
        <f t="shared" si="1"/>
        <v>0</v>
      </c>
      <c r="K44" s="190">
        <f t="shared" si="2"/>
        <v>0.14000000000000001</v>
      </c>
      <c r="L44" s="191">
        <f t="shared" si="3"/>
        <v>0</v>
      </c>
      <c r="M44" s="191">
        <f t="shared" si="4"/>
        <v>0</v>
      </c>
    </row>
    <row r="45" spans="1:15">
      <c r="A45" s="184">
        <v>1</v>
      </c>
      <c r="B45" s="195" t="s">
        <v>298</v>
      </c>
      <c r="C45" s="185" t="s">
        <v>251</v>
      </c>
      <c r="D45" s="184">
        <v>1</v>
      </c>
      <c r="E45" s="184" t="s">
        <v>337</v>
      </c>
      <c r="F45" s="186">
        <v>57558</v>
      </c>
      <c r="G45" s="187">
        <f t="shared" ref="G45:G47" si="10">F45*D45</f>
        <v>57558</v>
      </c>
      <c r="H45" s="194"/>
      <c r="I45" s="189">
        <v>49500</v>
      </c>
      <c r="J45" s="189">
        <f t="shared" si="1"/>
        <v>49500</v>
      </c>
      <c r="K45" s="190">
        <f t="shared" si="2"/>
        <v>0.14000000000000001</v>
      </c>
      <c r="L45" s="191">
        <f t="shared" si="3"/>
        <v>57558</v>
      </c>
      <c r="M45" s="191">
        <f t="shared" si="4"/>
        <v>57558</v>
      </c>
    </row>
    <row r="46" spans="1:15">
      <c r="A46" s="184">
        <v>2</v>
      </c>
      <c r="B46" s="195" t="s">
        <v>298</v>
      </c>
      <c r="C46" s="185" t="s">
        <v>252</v>
      </c>
      <c r="D46" s="184">
        <v>3</v>
      </c>
      <c r="E46" s="184" t="s">
        <v>337</v>
      </c>
      <c r="F46" s="186">
        <v>11105</v>
      </c>
      <c r="G46" s="187">
        <f t="shared" si="10"/>
        <v>33315</v>
      </c>
      <c r="H46" s="194"/>
      <c r="I46" s="189">
        <v>9550</v>
      </c>
      <c r="J46" s="189">
        <f t="shared" si="1"/>
        <v>28650</v>
      </c>
      <c r="K46" s="190">
        <f t="shared" si="2"/>
        <v>0.14000000000000001</v>
      </c>
      <c r="L46" s="191">
        <f t="shared" si="3"/>
        <v>11105</v>
      </c>
      <c r="M46" s="191">
        <f t="shared" si="4"/>
        <v>33315</v>
      </c>
    </row>
    <row r="47" spans="1:15">
      <c r="A47" s="184">
        <v>3</v>
      </c>
      <c r="B47" s="195" t="s">
        <v>298</v>
      </c>
      <c r="C47" s="185" t="s">
        <v>253</v>
      </c>
      <c r="D47" s="184">
        <v>7</v>
      </c>
      <c r="E47" s="184" t="s">
        <v>337</v>
      </c>
      <c r="F47" s="186">
        <v>436</v>
      </c>
      <c r="G47" s="187">
        <f t="shared" si="10"/>
        <v>3052</v>
      </c>
      <c r="H47" s="194"/>
      <c r="I47" s="189">
        <v>375</v>
      </c>
      <c r="J47" s="189">
        <f t="shared" si="1"/>
        <v>2625</v>
      </c>
      <c r="K47" s="190">
        <f t="shared" si="2"/>
        <v>0.14000000000000001</v>
      </c>
      <c r="L47" s="191">
        <f t="shared" si="3"/>
        <v>436</v>
      </c>
      <c r="M47" s="191">
        <f t="shared" si="4"/>
        <v>3052</v>
      </c>
    </row>
    <row r="48" spans="1:15">
      <c r="A48" s="180" t="s">
        <v>363</v>
      </c>
      <c r="B48" s="198"/>
      <c r="C48" s="180" t="s">
        <v>364</v>
      </c>
      <c r="D48" s="199"/>
      <c r="E48" s="199"/>
      <c r="F48" s="180"/>
      <c r="G48" s="180"/>
      <c r="H48" s="194"/>
      <c r="I48" s="189"/>
      <c r="J48" s="189">
        <f t="shared" si="1"/>
        <v>0</v>
      </c>
      <c r="K48" s="190">
        <f t="shared" si="2"/>
        <v>0.14000000000000001</v>
      </c>
      <c r="L48" s="191"/>
      <c r="M48" s="191"/>
    </row>
    <row r="49" spans="1:14">
      <c r="A49" s="184">
        <v>1</v>
      </c>
      <c r="B49" s="195" t="s">
        <v>365</v>
      </c>
      <c r="C49" s="185" t="s">
        <v>366</v>
      </c>
      <c r="D49" s="184">
        <v>1</v>
      </c>
      <c r="E49" s="184" t="s">
        <v>337</v>
      </c>
      <c r="F49" s="187">
        <v>302326</v>
      </c>
      <c r="G49" s="187">
        <f t="shared" ref="G49:G50" si="11">F49*D49</f>
        <v>302326</v>
      </c>
      <c r="H49" s="194" t="s">
        <v>365</v>
      </c>
      <c r="I49" s="189">
        <v>260000</v>
      </c>
      <c r="J49" s="189">
        <f t="shared" si="1"/>
        <v>260000</v>
      </c>
      <c r="K49" s="190">
        <f t="shared" si="2"/>
        <v>0.14000000000000001</v>
      </c>
      <c r="L49" s="191">
        <f t="shared" ref="L49:L50" si="12">ROUND(I49/(1-K49),0)</f>
        <v>302326</v>
      </c>
      <c r="M49" s="191">
        <f t="shared" ref="M49:M50" si="13">L49*D49</f>
        <v>302326</v>
      </c>
    </row>
    <row r="50" spans="1:14" ht="25.5">
      <c r="A50" s="184">
        <v>2</v>
      </c>
      <c r="B50" s="195" t="s">
        <v>367</v>
      </c>
      <c r="C50" s="185" t="s">
        <v>368</v>
      </c>
      <c r="D50" s="184">
        <v>1</v>
      </c>
      <c r="E50" s="184" t="s">
        <v>337</v>
      </c>
      <c r="F50" s="187">
        <v>11628</v>
      </c>
      <c r="G50" s="187">
        <f t="shared" si="11"/>
        <v>11628</v>
      </c>
      <c r="H50" s="188" t="s">
        <v>365</v>
      </c>
      <c r="I50" s="189">
        <v>60000</v>
      </c>
      <c r="J50" s="189">
        <f t="shared" si="1"/>
        <v>60000</v>
      </c>
      <c r="K50" s="190">
        <f t="shared" si="2"/>
        <v>0.14000000000000001</v>
      </c>
      <c r="L50" s="191">
        <f t="shared" si="12"/>
        <v>69767</v>
      </c>
      <c r="M50" s="191">
        <f t="shared" si="13"/>
        <v>69767</v>
      </c>
    </row>
    <row r="51" spans="1:14">
      <c r="A51" s="180" t="s">
        <v>369</v>
      </c>
      <c r="B51" s="198"/>
      <c r="C51" s="180" t="s">
        <v>370</v>
      </c>
      <c r="D51" s="199"/>
      <c r="E51" s="199"/>
      <c r="F51" s="180"/>
      <c r="G51" s="180"/>
      <c r="H51" s="194"/>
      <c r="I51" s="189"/>
      <c r="J51" s="189">
        <f t="shared" si="1"/>
        <v>0</v>
      </c>
      <c r="K51" s="190">
        <f t="shared" si="2"/>
        <v>0.14000000000000001</v>
      </c>
      <c r="L51" s="191"/>
      <c r="M51" s="191"/>
    </row>
    <row r="52" spans="1:14">
      <c r="A52" s="184">
        <v>1</v>
      </c>
      <c r="B52" s="195" t="s">
        <v>299</v>
      </c>
      <c r="C52" s="185" t="s">
        <v>260</v>
      </c>
      <c r="D52" s="184">
        <v>1</v>
      </c>
      <c r="E52" s="184" t="s">
        <v>337</v>
      </c>
      <c r="F52" s="186">
        <v>10465</v>
      </c>
      <c r="G52" s="187">
        <f t="shared" ref="G52:G57" si="14">F52*D52</f>
        <v>10465</v>
      </c>
      <c r="H52" s="194" t="s">
        <v>371</v>
      </c>
      <c r="I52" s="189">
        <v>9000</v>
      </c>
      <c r="J52" s="189">
        <f t="shared" si="1"/>
        <v>9000</v>
      </c>
      <c r="K52" s="190">
        <f t="shared" si="2"/>
        <v>0.14000000000000001</v>
      </c>
      <c r="L52" s="191">
        <f t="shared" ref="L52:L57" si="15">ROUND(I52/(1-K52),0)</f>
        <v>10465</v>
      </c>
      <c r="M52" s="191">
        <f t="shared" ref="M52:M57" si="16">L52*D52</f>
        <v>10465</v>
      </c>
    </row>
    <row r="53" spans="1:14">
      <c r="A53" s="184">
        <v>2</v>
      </c>
      <c r="B53" s="195" t="s">
        <v>299</v>
      </c>
      <c r="C53" s="185" t="s">
        <v>261</v>
      </c>
      <c r="D53" s="184">
        <v>10</v>
      </c>
      <c r="E53" s="184" t="s">
        <v>337</v>
      </c>
      <c r="F53" s="186">
        <v>1279</v>
      </c>
      <c r="G53" s="187">
        <f t="shared" si="14"/>
        <v>12790</v>
      </c>
      <c r="H53" s="194" t="s">
        <v>371</v>
      </c>
      <c r="I53" s="189">
        <v>1100</v>
      </c>
      <c r="J53" s="189">
        <f t="shared" si="1"/>
        <v>11000</v>
      </c>
      <c r="K53" s="190">
        <f t="shared" si="2"/>
        <v>0.14000000000000001</v>
      </c>
      <c r="L53" s="191">
        <f t="shared" si="15"/>
        <v>1279</v>
      </c>
      <c r="M53" s="191">
        <f t="shared" si="16"/>
        <v>12790</v>
      </c>
    </row>
    <row r="54" spans="1:14">
      <c r="A54" s="184">
        <v>3</v>
      </c>
      <c r="B54" s="195" t="s">
        <v>299</v>
      </c>
      <c r="C54" s="185" t="s">
        <v>262</v>
      </c>
      <c r="D54" s="184">
        <v>1</v>
      </c>
      <c r="E54" s="184" t="s">
        <v>337</v>
      </c>
      <c r="F54" s="186">
        <v>1744</v>
      </c>
      <c r="G54" s="187">
        <f t="shared" si="14"/>
        <v>1744</v>
      </c>
      <c r="H54" s="194" t="s">
        <v>371</v>
      </c>
      <c r="I54" s="189">
        <v>1500</v>
      </c>
      <c r="J54" s="189">
        <f t="shared" si="1"/>
        <v>1500</v>
      </c>
      <c r="K54" s="190">
        <f t="shared" si="2"/>
        <v>0.14000000000000001</v>
      </c>
      <c r="L54" s="191">
        <f t="shared" si="15"/>
        <v>1744</v>
      </c>
      <c r="M54" s="191">
        <f t="shared" si="16"/>
        <v>1744</v>
      </c>
      <c r="N54" s="177">
        <v>10000</v>
      </c>
    </row>
    <row r="55" spans="1:14">
      <c r="A55" s="184">
        <v>4</v>
      </c>
      <c r="B55" s="195" t="s">
        <v>299</v>
      </c>
      <c r="C55" s="185" t="s">
        <v>263</v>
      </c>
      <c r="D55" s="184">
        <v>1</v>
      </c>
      <c r="E55" s="184" t="s">
        <v>337</v>
      </c>
      <c r="F55" s="186">
        <v>2674</v>
      </c>
      <c r="G55" s="187">
        <f t="shared" si="14"/>
        <v>2674</v>
      </c>
      <c r="H55" s="194" t="s">
        <v>371</v>
      </c>
      <c r="I55" s="189">
        <v>2300</v>
      </c>
      <c r="J55" s="189">
        <f t="shared" si="1"/>
        <v>2300</v>
      </c>
      <c r="K55" s="190">
        <f t="shared" si="2"/>
        <v>0.14000000000000001</v>
      </c>
      <c r="L55" s="191">
        <f t="shared" si="15"/>
        <v>2674</v>
      </c>
      <c r="M55" s="191">
        <f t="shared" si="16"/>
        <v>2674</v>
      </c>
    </row>
    <row r="56" spans="1:14">
      <c r="A56" s="184">
        <v>5</v>
      </c>
      <c r="B56" s="195" t="s">
        <v>291</v>
      </c>
      <c r="C56" s="185" t="s">
        <v>264</v>
      </c>
      <c r="D56" s="184">
        <v>90</v>
      </c>
      <c r="E56" s="184" t="s">
        <v>343</v>
      </c>
      <c r="F56" s="186">
        <v>87</v>
      </c>
      <c r="G56" s="187">
        <f t="shared" si="14"/>
        <v>7830</v>
      </c>
      <c r="H56" s="194" t="s">
        <v>371</v>
      </c>
      <c r="I56" s="189">
        <v>75</v>
      </c>
      <c r="J56" s="189">
        <f t="shared" si="1"/>
        <v>6750</v>
      </c>
      <c r="K56" s="190">
        <f t="shared" si="2"/>
        <v>0.14000000000000001</v>
      </c>
      <c r="L56" s="191">
        <f t="shared" si="15"/>
        <v>87</v>
      </c>
      <c r="M56" s="191">
        <f t="shared" si="16"/>
        <v>7830</v>
      </c>
      <c r="N56" s="177">
        <v>50</v>
      </c>
    </row>
    <row r="57" spans="1:14">
      <c r="A57" s="184">
        <v>6</v>
      </c>
      <c r="B57" s="195" t="s">
        <v>299</v>
      </c>
      <c r="C57" s="185" t="s">
        <v>265</v>
      </c>
      <c r="D57" s="184">
        <v>6</v>
      </c>
      <c r="E57" s="184" t="s">
        <v>337</v>
      </c>
      <c r="F57" s="186">
        <v>174</v>
      </c>
      <c r="G57" s="187">
        <f t="shared" si="14"/>
        <v>1044</v>
      </c>
      <c r="H57" s="194" t="s">
        <v>371</v>
      </c>
      <c r="I57" s="189">
        <v>150</v>
      </c>
      <c r="J57" s="189">
        <f t="shared" si="1"/>
        <v>900</v>
      </c>
      <c r="K57" s="190">
        <f t="shared" si="2"/>
        <v>0.14000000000000001</v>
      </c>
      <c r="L57" s="191">
        <f t="shared" si="15"/>
        <v>174</v>
      </c>
      <c r="M57" s="191">
        <f t="shared" si="16"/>
        <v>1044</v>
      </c>
    </row>
    <row r="58" spans="1:14">
      <c r="A58" s="180" t="s">
        <v>372</v>
      </c>
      <c r="B58" s="198"/>
      <c r="C58" s="180" t="s">
        <v>373</v>
      </c>
      <c r="D58" s="199"/>
      <c r="E58" s="199"/>
      <c r="F58" s="180"/>
      <c r="G58" s="180"/>
      <c r="H58" s="194"/>
      <c r="I58" s="189"/>
      <c r="J58" s="189">
        <f t="shared" si="1"/>
        <v>0</v>
      </c>
      <c r="K58" s="190">
        <f t="shared" si="2"/>
        <v>0.14000000000000001</v>
      </c>
      <c r="L58" s="191"/>
      <c r="M58" s="191"/>
    </row>
    <row r="59" spans="1:14">
      <c r="A59" s="184">
        <v>1</v>
      </c>
      <c r="B59" s="195" t="s">
        <v>300</v>
      </c>
      <c r="C59" s="185" t="s">
        <v>268</v>
      </c>
      <c r="D59" s="184">
        <v>1</v>
      </c>
      <c r="E59" s="184" t="s">
        <v>337</v>
      </c>
      <c r="F59" s="186">
        <v>115233</v>
      </c>
      <c r="G59" s="187">
        <f t="shared" ref="G59:G60" si="17">F59*D59</f>
        <v>115233</v>
      </c>
      <c r="H59" s="194" t="s">
        <v>300</v>
      </c>
      <c r="I59" s="189">
        <v>99100</v>
      </c>
      <c r="J59" s="189">
        <f t="shared" si="1"/>
        <v>99100</v>
      </c>
      <c r="K59" s="190">
        <f t="shared" si="2"/>
        <v>0.14000000000000001</v>
      </c>
      <c r="L59" s="191">
        <f t="shared" ref="L59:L60" si="18">ROUND(I59/(1-K59),0)</f>
        <v>115233</v>
      </c>
      <c r="M59" s="191">
        <f t="shared" ref="M59:M60" si="19">L59*D59</f>
        <v>115233</v>
      </c>
    </row>
    <row r="60" spans="1:14" ht="25.5">
      <c r="A60" s="184">
        <v>2</v>
      </c>
      <c r="B60" s="195" t="s">
        <v>301</v>
      </c>
      <c r="C60" s="185" t="s">
        <v>269</v>
      </c>
      <c r="D60" s="184">
        <v>1</v>
      </c>
      <c r="E60" s="184" t="s">
        <v>374</v>
      </c>
      <c r="F60" s="186">
        <v>47907</v>
      </c>
      <c r="G60" s="187">
        <f t="shared" si="17"/>
        <v>47907</v>
      </c>
      <c r="H60" s="194" t="s">
        <v>300</v>
      </c>
      <c r="I60" s="189">
        <v>41200</v>
      </c>
      <c r="J60" s="189">
        <f t="shared" si="1"/>
        <v>41200</v>
      </c>
      <c r="K60" s="190">
        <f t="shared" si="2"/>
        <v>0.14000000000000001</v>
      </c>
      <c r="L60" s="191">
        <f t="shared" si="18"/>
        <v>47907</v>
      </c>
      <c r="M60" s="191">
        <f t="shared" si="19"/>
        <v>47907</v>
      </c>
    </row>
    <row r="61" spans="1:14">
      <c r="A61" s="180" t="s">
        <v>375</v>
      </c>
      <c r="B61" s="198"/>
      <c r="C61" s="180" t="s">
        <v>376</v>
      </c>
      <c r="D61" s="199"/>
      <c r="E61" s="199"/>
      <c r="F61" s="180"/>
      <c r="G61" s="180"/>
      <c r="H61" s="194"/>
      <c r="I61" s="189"/>
      <c r="J61" s="189">
        <f t="shared" si="1"/>
        <v>0</v>
      </c>
      <c r="K61" s="190">
        <f t="shared" si="2"/>
        <v>0.14000000000000001</v>
      </c>
      <c r="L61" s="191">
        <f t="shared" si="3"/>
        <v>0</v>
      </c>
      <c r="M61" s="191">
        <f t="shared" si="4"/>
        <v>0</v>
      </c>
    </row>
    <row r="62" spans="1:14" ht="21" customHeight="1">
      <c r="A62" s="184">
        <v>1</v>
      </c>
      <c r="B62" s="195" t="s">
        <v>290</v>
      </c>
      <c r="C62" s="185" t="s">
        <v>274</v>
      </c>
      <c r="D62" s="184">
        <v>250</v>
      </c>
      <c r="E62" s="195" t="s">
        <v>343</v>
      </c>
      <c r="F62" s="202">
        <v>533</v>
      </c>
      <c r="G62" s="203">
        <f>F62*D62</f>
        <v>133250</v>
      </c>
      <c r="H62" s="194" t="s">
        <v>356</v>
      </c>
      <c r="I62" s="189">
        <f>322+136</f>
        <v>458</v>
      </c>
      <c r="J62" s="189">
        <f t="shared" si="1"/>
        <v>114500</v>
      </c>
      <c r="K62" s="190">
        <f t="shared" si="2"/>
        <v>0.14000000000000001</v>
      </c>
      <c r="L62" s="191">
        <f t="shared" si="3"/>
        <v>533</v>
      </c>
      <c r="M62" s="191">
        <f t="shared" si="4"/>
        <v>133250</v>
      </c>
    </row>
    <row r="63" spans="1:14">
      <c r="A63" s="184">
        <v>2</v>
      </c>
      <c r="B63" s="195" t="s">
        <v>290</v>
      </c>
      <c r="C63" s="185" t="s">
        <v>275</v>
      </c>
      <c r="D63" s="184">
        <v>150</v>
      </c>
      <c r="E63" s="195" t="s">
        <v>343</v>
      </c>
      <c r="F63" s="202">
        <v>273</v>
      </c>
      <c r="G63" s="203">
        <f>F63*D63</f>
        <v>40950</v>
      </c>
      <c r="H63" s="194" t="s">
        <v>356</v>
      </c>
      <c r="I63" s="189">
        <f>175+60</f>
        <v>235</v>
      </c>
      <c r="J63" s="189">
        <f t="shared" si="1"/>
        <v>35250</v>
      </c>
      <c r="K63" s="190">
        <f t="shared" si="2"/>
        <v>0.14000000000000001</v>
      </c>
      <c r="L63" s="191">
        <f t="shared" si="3"/>
        <v>273</v>
      </c>
      <c r="M63" s="191">
        <f t="shared" si="4"/>
        <v>40950</v>
      </c>
    </row>
    <row r="64" spans="1:14">
      <c r="A64" s="184">
        <v>3</v>
      </c>
      <c r="B64" s="195" t="s">
        <v>290</v>
      </c>
      <c r="C64" s="185" t="s">
        <v>276</v>
      </c>
      <c r="D64" s="184">
        <v>125</v>
      </c>
      <c r="E64" s="195" t="s">
        <v>343</v>
      </c>
      <c r="F64" s="202">
        <v>163</v>
      </c>
      <c r="G64" s="203">
        <f>F64*D64</f>
        <v>20375</v>
      </c>
      <c r="H64" s="194" t="s">
        <v>356</v>
      </c>
      <c r="I64" s="189">
        <v>140</v>
      </c>
      <c r="J64" s="189">
        <f t="shared" si="1"/>
        <v>17500</v>
      </c>
      <c r="K64" s="190">
        <f t="shared" si="2"/>
        <v>0.14000000000000001</v>
      </c>
      <c r="L64" s="191">
        <f t="shared" si="3"/>
        <v>163</v>
      </c>
      <c r="M64" s="191">
        <f t="shared" si="4"/>
        <v>20375</v>
      </c>
    </row>
    <row r="65" spans="1:13">
      <c r="A65" s="184">
        <v>4</v>
      </c>
      <c r="B65" s="195" t="s">
        <v>290</v>
      </c>
      <c r="C65" s="185" t="s">
        <v>277</v>
      </c>
      <c r="D65" s="184">
        <v>500</v>
      </c>
      <c r="E65" s="195" t="s">
        <v>377</v>
      </c>
      <c r="F65" s="202">
        <v>192</v>
      </c>
      <c r="G65" s="203">
        <f>F65*D65</f>
        <v>96000</v>
      </c>
      <c r="H65" s="194" t="s">
        <v>356</v>
      </c>
      <c r="I65" s="189">
        <f>110+55</f>
        <v>165</v>
      </c>
      <c r="J65" s="189">
        <f t="shared" si="1"/>
        <v>82500</v>
      </c>
      <c r="K65" s="190">
        <f t="shared" si="2"/>
        <v>0.14000000000000001</v>
      </c>
      <c r="L65" s="191">
        <f t="shared" si="3"/>
        <v>192</v>
      </c>
      <c r="M65" s="191">
        <f t="shared" si="4"/>
        <v>96000</v>
      </c>
    </row>
    <row r="66" spans="1:13">
      <c r="A66" s="180" t="s">
        <v>378</v>
      </c>
      <c r="B66" s="198"/>
      <c r="C66" s="180" t="s">
        <v>379</v>
      </c>
      <c r="D66" s="199"/>
      <c r="E66" s="199"/>
      <c r="F66" s="180"/>
      <c r="G66" s="180"/>
      <c r="H66" s="194"/>
      <c r="I66" s="189"/>
      <c r="J66" s="189">
        <f t="shared" si="1"/>
        <v>0</v>
      </c>
      <c r="K66" s="188"/>
      <c r="L66" s="191">
        <f t="shared" si="3"/>
        <v>0</v>
      </c>
      <c r="M66" s="191">
        <f t="shared" si="4"/>
        <v>0</v>
      </c>
    </row>
    <row r="67" spans="1:13">
      <c r="A67" s="184">
        <v>1</v>
      </c>
      <c r="B67" s="195" t="s">
        <v>380</v>
      </c>
      <c r="C67" s="185" t="s">
        <v>381</v>
      </c>
      <c r="D67" s="184">
        <f>D33*305</f>
        <v>10980</v>
      </c>
      <c r="E67" s="184" t="s">
        <v>351</v>
      </c>
      <c r="F67" s="187">
        <v>26</v>
      </c>
      <c r="G67" s="187">
        <f t="shared" ref="G67:G85" si="20">F67*D67</f>
        <v>285480</v>
      </c>
      <c r="H67" s="194" t="s">
        <v>356</v>
      </c>
      <c r="I67" s="189">
        <v>20</v>
      </c>
      <c r="J67" s="189">
        <f t="shared" si="1"/>
        <v>219600</v>
      </c>
      <c r="K67" s="190">
        <f t="shared" si="2"/>
        <v>0.14000000000000001</v>
      </c>
      <c r="L67" s="191">
        <f t="shared" si="3"/>
        <v>23</v>
      </c>
      <c r="M67" s="191">
        <f t="shared" si="4"/>
        <v>252540</v>
      </c>
    </row>
    <row r="68" spans="1:13">
      <c r="A68" s="184">
        <v>2</v>
      </c>
      <c r="B68" s="195" t="s">
        <v>380</v>
      </c>
      <c r="C68" s="188" t="s">
        <v>382</v>
      </c>
      <c r="D68" s="184">
        <v>1</v>
      </c>
      <c r="E68" s="184" t="s">
        <v>337</v>
      </c>
      <c r="F68" s="187">
        <v>3198</v>
      </c>
      <c r="G68" s="187">
        <f t="shared" si="20"/>
        <v>3198</v>
      </c>
      <c r="H68" s="194" t="s">
        <v>356</v>
      </c>
      <c r="I68" s="189">
        <v>2750</v>
      </c>
      <c r="J68" s="189">
        <f t="shared" si="1"/>
        <v>2750</v>
      </c>
      <c r="K68" s="190">
        <f t="shared" si="2"/>
        <v>0.14000000000000001</v>
      </c>
      <c r="L68" s="191">
        <f t="shared" si="3"/>
        <v>3198</v>
      </c>
      <c r="M68" s="191">
        <f t="shared" si="4"/>
        <v>3198</v>
      </c>
    </row>
    <row r="69" spans="1:13">
      <c r="A69" s="184">
        <v>3</v>
      </c>
      <c r="B69" s="195" t="s">
        <v>380</v>
      </c>
      <c r="C69" s="188" t="s">
        <v>383</v>
      </c>
      <c r="D69" s="184">
        <v>3</v>
      </c>
      <c r="E69" s="184" t="s">
        <v>337</v>
      </c>
      <c r="F69" s="187">
        <v>2302</v>
      </c>
      <c r="G69" s="187">
        <f t="shared" si="20"/>
        <v>6906</v>
      </c>
      <c r="H69" s="194" t="s">
        <v>356</v>
      </c>
      <c r="I69" s="189">
        <v>1980</v>
      </c>
      <c r="J69" s="189">
        <f t="shared" ref="J69:J85" si="21">I69*D69</f>
        <v>5940</v>
      </c>
      <c r="K69" s="190">
        <f t="shared" ref="K69:K84" si="22">$K$2</f>
        <v>0.14000000000000001</v>
      </c>
      <c r="L69" s="191">
        <f t="shared" si="3"/>
        <v>2302</v>
      </c>
      <c r="M69" s="191">
        <f t="shared" si="4"/>
        <v>6906</v>
      </c>
    </row>
    <row r="70" spans="1:13">
      <c r="A70" s="184">
        <v>4</v>
      </c>
      <c r="B70" s="195" t="s">
        <v>380</v>
      </c>
      <c r="C70" s="185" t="s">
        <v>384</v>
      </c>
      <c r="D70" s="184">
        <v>7</v>
      </c>
      <c r="E70" s="184" t="s">
        <v>337</v>
      </c>
      <c r="F70" s="187">
        <v>448</v>
      </c>
      <c r="G70" s="187">
        <f t="shared" si="20"/>
        <v>3136</v>
      </c>
      <c r="H70" s="194" t="s">
        <v>356</v>
      </c>
      <c r="I70" s="189">
        <v>385</v>
      </c>
      <c r="J70" s="189">
        <f t="shared" si="21"/>
        <v>2695</v>
      </c>
      <c r="K70" s="190">
        <f t="shared" si="22"/>
        <v>0.14000000000000001</v>
      </c>
      <c r="L70" s="191">
        <f t="shared" si="3"/>
        <v>448</v>
      </c>
      <c r="M70" s="191">
        <f t="shared" si="4"/>
        <v>3136</v>
      </c>
    </row>
    <row r="71" spans="1:13">
      <c r="A71" s="184">
        <v>5</v>
      </c>
      <c r="B71" s="195" t="s">
        <v>380</v>
      </c>
      <c r="C71" s="188" t="s">
        <v>385</v>
      </c>
      <c r="D71" s="184">
        <v>100</v>
      </c>
      <c r="E71" s="184" t="s">
        <v>337</v>
      </c>
      <c r="F71" s="187">
        <v>64</v>
      </c>
      <c r="G71" s="187">
        <f t="shared" si="20"/>
        <v>6400</v>
      </c>
      <c r="H71" s="194" t="s">
        <v>356</v>
      </c>
      <c r="I71" s="189">
        <v>55</v>
      </c>
      <c r="J71" s="189">
        <f t="shared" si="21"/>
        <v>5500</v>
      </c>
      <c r="K71" s="190">
        <f t="shared" si="22"/>
        <v>0.14000000000000001</v>
      </c>
      <c r="L71" s="191">
        <f t="shared" si="3"/>
        <v>64</v>
      </c>
      <c r="M71" s="191">
        <f t="shared" si="4"/>
        <v>6400</v>
      </c>
    </row>
    <row r="72" spans="1:13">
      <c r="A72" s="184">
        <v>6</v>
      </c>
      <c r="B72" s="195" t="s">
        <v>380</v>
      </c>
      <c r="C72" s="188" t="s">
        <v>386</v>
      </c>
      <c r="D72" s="184">
        <v>50</v>
      </c>
      <c r="E72" s="184" t="s">
        <v>337</v>
      </c>
      <c r="F72" s="187">
        <v>58</v>
      </c>
      <c r="G72" s="187">
        <f t="shared" si="20"/>
        <v>2900</v>
      </c>
      <c r="H72" s="194" t="s">
        <v>356</v>
      </c>
      <c r="I72" s="189">
        <v>50</v>
      </c>
      <c r="J72" s="189">
        <f t="shared" si="21"/>
        <v>2500</v>
      </c>
      <c r="K72" s="190">
        <f t="shared" si="22"/>
        <v>0.14000000000000001</v>
      </c>
      <c r="L72" s="191">
        <f t="shared" si="3"/>
        <v>58</v>
      </c>
      <c r="M72" s="191">
        <f t="shared" si="4"/>
        <v>2900</v>
      </c>
    </row>
    <row r="73" spans="1:13">
      <c r="A73" s="184">
        <v>7</v>
      </c>
      <c r="B73" s="195" t="s">
        <v>380</v>
      </c>
      <c r="C73" s="201" t="s">
        <v>387</v>
      </c>
      <c r="D73" s="204">
        <v>1950</v>
      </c>
      <c r="E73" s="184" t="s">
        <v>351</v>
      </c>
      <c r="F73" s="187">
        <v>19</v>
      </c>
      <c r="G73" s="187">
        <f t="shared" si="20"/>
        <v>37050</v>
      </c>
      <c r="H73" s="194" t="s">
        <v>356</v>
      </c>
      <c r="I73" s="189">
        <v>11</v>
      </c>
      <c r="J73" s="189">
        <f t="shared" si="21"/>
        <v>21450</v>
      </c>
      <c r="K73" s="190">
        <f t="shared" si="22"/>
        <v>0.14000000000000001</v>
      </c>
      <c r="L73" s="191">
        <f t="shared" si="3"/>
        <v>13</v>
      </c>
      <c r="M73" s="191">
        <f t="shared" si="4"/>
        <v>25350</v>
      </c>
    </row>
    <row r="74" spans="1:13">
      <c r="A74" s="184">
        <v>8</v>
      </c>
      <c r="B74" s="195" t="s">
        <v>380</v>
      </c>
      <c r="C74" s="201" t="s">
        <v>388</v>
      </c>
      <c r="D74" s="204">
        <v>800</v>
      </c>
      <c r="E74" s="184" t="s">
        <v>351</v>
      </c>
      <c r="F74" s="187">
        <v>15</v>
      </c>
      <c r="G74" s="187">
        <f t="shared" si="20"/>
        <v>12000</v>
      </c>
      <c r="H74" s="194" t="s">
        <v>356</v>
      </c>
      <c r="I74" s="189">
        <v>13</v>
      </c>
      <c r="J74" s="189">
        <f t="shared" si="21"/>
        <v>10400</v>
      </c>
      <c r="K74" s="190">
        <f t="shared" si="22"/>
        <v>0.14000000000000001</v>
      </c>
      <c r="L74" s="191">
        <f t="shared" si="3"/>
        <v>15</v>
      </c>
      <c r="M74" s="191">
        <f t="shared" si="4"/>
        <v>12000</v>
      </c>
    </row>
    <row r="75" spans="1:13">
      <c r="A75" s="184">
        <v>9</v>
      </c>
      <c r="B75" s="195" t="s">
        <v>380</v>
      </c>
      <c r="C75" s="201" t="s">
        <v>389</v>
      </c>
      <c r="D75" s="204">
        <v>28</v>
      </c>
      <c r="E75" s="184" t="s">
        <v>337</v>
      </c>
      <c r="F75" s="187">
        <v>115</v>
      </c>
      <c r="G75" s="187">
        <f t="shared" si="20"/>
        <v>3220</v>
      </c>
      <c r="H75" s="194" t="s">
        <v>356</v>
      </c>
      <c r="I75" s="189">
        <v>99</v>
      </c>
      <c r="J75" s="189">
        <f t="shared" si="21"/>
        <v>2772</v>
      </c>
      <c r="K75" s="190">
        <f t="shared" si="22"/>
        <v>0.14000000000000001</v>
      </c>
      <c r="L75" s="191">
        <f t="shared" si="3"/>
        <v>115</v>
      </c>
      <c r="M75" s="191">
        <f t="shared" si="4"/>
        <v>3220</v>
      </c>
    </row>
    <row r="76" spans="1:13">
      <c r="A76" s="184">
        <v>10</v>
      </c>
      <c r="B76" s="195" t="s">
        <v>380</v>
      </c>
      <c r="C76" s="201" t="s">
        <v>390</v>
      </c>
      <c r="D76" s="204">
        <v>90</v>
      </c>
      <c r="E76" s="184" t="s">
        <v>343</v>
      </c>
      <c r="F76" s="187">
        <v>58</v>
      </c>
      <c r="G76" s="187">
        <f t="shared" si="20"/>
        <v>5220</v>
      </c>
      <c r="H76" s="194" t="s">
        <v>356</v>
      </c>
      <c r="I76" s="189">
        <v>50</v>
      </c>
      <c r="J76" s="189">
        <f t="shared" si="21"/>
        <v>4500</v>
      </c>
      <c r="K76" s="190">
        <f t="shared" si="22"/>
        <v>0.14000000000000001</v>
      </c>
      <c r="L76" s="191">
        <f t="shared" si="3"/>
        <v>58</v>
      </c>
      <c r="M76" s="191">
        <f t="shared" si="4"/>
        <v>5220</v>
      </c>
    </row>
    <row r="77" spans="1:13">
      <c r="A77" s="184">
        <v>11</v>
      </c>
      <c r="B77" s="195" t="s">
        <v>380</v>
      </c>
      <c r="C77" s="201" t="s">
        <v>391</v>
      </c>
      <c r="D77" s="204">
        <v>3</v>
      </c>
      <c r="E77" s="184" t="s">
        <v>337</v>
      </c>
      <c r="F77" s="187">
        <v>2326</v>
      </c>
      <c r="G77" s="187">
        <f t="shared" si="20"/>
        <v>6978</v>
      </c>
      <c r="H77" s="194" t="s">
        <v>356</v>
      </c>
      <c r="I77" s="189">
        <v>715</v>
      </c>
      <c r="J77" s="189">
        <f t="shared" si="21"/>
        <v>2145</v>
      </c>
      <c r="K77" s="190">
        <f t="shared" si="22"/>
        <v>0.14000000000000001</v>
      </c>
      <c r="L77" s="191">
        <f t="shared" si="3"/>
        <v>831</v>
      </c>
      <c r="M77" s="191">
        <f t="shared" si="4"/>
        <v>2493</v>
      </c>
    </row>
    <row r="78" spans="1:13">
      <c r="A78" s="184">
        <v>12</v>
      </c>
      <c r="B78" s="195" t="s">
        <v>380</v>
      </c>
      <c r="C78" s="185" t="s">
        <v>392</v>
      </c>
      <c r="D78" s="184">
        <v>330</v>
      </c>
      <c r="E78" s="184" t="s">
        <v>351</v>
      </c>
      <c r="F78" s="187">
        <v>29</v>
      </c>
      <c r="G78" s="187">
        <f t="shared" si="20"/>
        <v>9570</v>
      </c>
      <c r="H78" s="194" t="s">
        <v>356</v>
      </c>
      <c r="I78" s="189">
        <v>22</v>
      </c>
      <c r="J78" s="189">
        <f t="shared" si="21"/>
        <v>7260</v>
      </c>
      <c r="K78" s="190">
        <f t="shared" si="22"/>
        <v>0.14000000000000001</v>
      </c>
      <c r="L78" s="191">
        <f t="shared" si="3"/>
        <v>26</v>
      </c>
      <c r="M78" s="191">
        <f t="shared" si="4"/>
        <v>8580</v>
      </c>
    </row>
    <row r="79" spans="1:13">
      <c r="A79" s="184">
        <v>13</v>
      </c>
      <c r="B79" s="195" t="s">
        <v>380</v>
      </c>
      <c r="C79" s="185" t="s">
        <v>393</v>
      </c>
      <c r="D79" s="184">
        <v>4</v>
      </c>
      <c r="E79" s="184" t="s">
        <v>337</v>
      </c>
      <c r="F79" s="187">
        <v>1744</v>
      </c>
      <c r="G79" s="187">
        <f t="shared" si="20"/>
        <v>6976</v>
      </c>
      <c r="H79" s="194" t="s">
        <v>356</v>
      </c>
      <c r="I79" s="189">
        <v>275</v>
      </c>
      <c r="J79" s="189">
        <f t="shared" si="21"/>
        <v>1100</v>
      </c>
      <c r="K79" s="190">
        <f t="shared" si="22"/>
        <v>0.14000000000000001</v>
      </c>
      <c r="L79" s="191">
        <f t="shared" si="3"/>
        <v>320</v>
      </c>
      <c r="M79" s="191">
        <f t="shared" si="4"/>
        <v>1280</v>
      </c>
    </row>
    <row r="80" spans="1:13">
      <c r="A80" s="184">
        <v>14</v>
      </c>
      <c r="B80" s="195" t="s">
        <v>380</v>
      </c>
      <c r="C80" s="185" t="s">
        <v>394</v>
      </c>
      <c r="D80" s="184">
        <f>D16</f>
        <v>50</v>
      </c>
      <c r="E80" s="184" t="s">
        <v>337</v>
      </c>
      <c r="F80" s="187">
        <v>407</v>
      </c>
      <c r="G80" s="187">
        <f t="shared" si="20"/>
        <v>20350</v>
      </c>
      <c r="H80" s="194" t="s">
        <v>356</v>
      </c>
      <c r="I80" s="189">
        <v>165</v>
      </c>
      <c r="J80" s="189">
        <f t="shared" si="21"/>
        <v>8250</v>
      </c>
      <c r="K80" s="190">
        <f t="shared" si="22"/>
        <v>0.14000000000000001</v>
      </c>
      <c r="L80" s="191">
        <f t="shared" ref="L80:L85" si="23">ROUND(I80/(1-K80),0)</f>
        <v>192</v>
      </c>
      <c r="M80" s="191">
        <f t="shared" ref="M80:M85" si="24">L80*D80</f>
        <v>9600</v>
      </c>
    </row>
    <row r="81" spans="1:13">
      <c r="A81" s="184">
        <v>15</v>
      </c>
      <c r="B81" s="195" t="s">
        <v>380</v>
      </c>
      <c r="C81" s="188" t="s">
        <v>395</v>
      </c>
      <c r="D81" s="184">
        <v>4</v>
      </c>
      <c r="E81" s="184" t="s">
        <v>337</v>
      </c>
      <c r="F81" s="187">
        <v>523</v>
      </c>
      <c r="G81" s="187">
        <f t="shared" si="20"/>
        <v>2092</v>
      </c>
      <c r="H81" s="194" t="s">
        <v>356</v>
      </c>
      <c r="I81" s="189">
        <v>275</v>
      </c>
      <c r="J81" s="189">
        <f t="shared" si="21"/>
        <v>1100</v>
      </c>
      <c r="K81" s="190">
        <f t="shared" si="22"/>
        <v>0.14000000000000001</v>
      </c>
      <c r="L81" s="191">
        <f t="shared" si="23"/>
        <v>320</v>
      </c>
      <c r="M81" s="191">
        <f t="shared" si="24"/>
        <v>1280</v>
      </c>
    </row>
    <row r="82" spans="1:13">
      <c r="A82" s="184">
        <v>16</v>
      </c>
      <c r="B82" s="195" t="s">
        <v>380</v>
      </c>
      <c r="C82" s="185" t="s">
        <v>396</v>
      </c>
      <c r="D82" s="184">
        <v>1</v>
      </c>
      <c r="E82" s="184" t="s">
        <v>337</v>
      </c>
      <c r="F82" s="187">
        <v>1279</v>
      </c>
      <c r="G82" s="187">
        <f t="shared" si="20"/>
        <v>1279</v>
      </c>
      <c r="H82" s="194" t="s">
        <v>356</v>
      </c>
      <c r="I82" s="189">
        <v>1100</v>
      </c>
      <c r="J82" s="189">
        <f t="shared" si="21"/>
        <v>1100</v>
      </c>
      <c r="K82" s="190">
        <f t="shared" si="22"/>
        <v>0.14000000000000001</v>
      </c>
      <c r="L82" s="191">
        <f t="shared" si="23"/>
        <v>1279</v>
      </c>
      <c r="M82" s="191">
        <f t="shared" si="24"/>
        <v>1279</v>
      </c>
    </row>
    <row r="83" spans="1:13">
      <c r="A83" s="184">
        <v>17</v>
      </c>
      <c r="B83" s="195" t="s">
        <v>380</v>
      </c>
      <c r="C83" s="185" t="s">
        <v>397</v>
      </c>
      <c r="D83" s="184">
        <v>1</v>
      </c>
      <c r="E83" s="184" t="s">
        <v>398</v>
      </c>
      <c r="F83" s="187">
        <v>17442</v>
      </c>
      <c r="G83" s="187">
        <f t="shared" si="20"/>
        <v>17442</v>
      </c>
      <c r="H83" s="194" t="s">
        <v>356</v>
      </c>
      <c r="I83" s="189">
        <v>15000</v>
      </c>
      <c r="J83" s="189">
        <f t="shared" si="21"/>
        <v>15000</v>
      </c>
      <c r="K83" s="190">
        <f t="shared" si="22"/>
        <v>0.14000000000000001</v>
      </c>
      <c r="L83" s="191">
        <f t="shared" si="23"/>
        <v>17442</v>
      </c>
      <c r="M83" s="191">
        <f t="shared" si="24"/>
        <v>17442</v>
      </c>
    </row>
    <row r="84" spans="1:13">
      <c r="A84" s="184">
        <v>18</v>
      </c>
      <c r="B84" s="195" t="s">
        <v>380</v>
      </c>
      <c r="C84" s="201" t="s">
        <v>399</v>
      </c>
      <c r="D84" s="204">
        <v>1</v>
      </c>
      <c r="E84" s="184" t="s">
        <v>398</v>
      </c>
      <c r="F84" s="187">
        <v>2814</v>
      </c>
      <c r="G84" s="187">
        <f>F84*D84</f>
        <v>2814</v>
      </c>
      <c r="H84" s="194" t="s">
        <v>356</v>
      </c>
      <c r="I84" s="189">
        <v>2420</v>
      </c>
      <c r="J84" s="189">
        <f t="shared" si="21"/>
        <v>2420</v>
      </c>
      <c r="K84" s="190">
        <f t="shared" si="22"/>
        <v>0.14000000000000001</v>
      </c>
      <c r="L84" s="191">
        <f>ROUND(I84/(1-K84),0)</f>
        <v>2814</v>
      </c>
      <c r="M84" s="191">
        <f>L84*D84</f>
        <v>2814</v>
      </c>
    </row>
    <row r="85" spans="1:13" ht="25.5">
      <c r="A85" s="184">
        <v>19</v>
      </c>
      <c r="B85" s="195" t="s">
        <v>379</v>
      </c>
      <c r="C85" s="197" t="s">
        <v>400</v>
      </c>
      <c r="D85" s="184">
        <v>1</v>
      </c>
      <c r="E85" s="184" t="s">
        <v>374</v>
      </c>
      <c r="F85" s="187">
        <v>179700</v>
      </c>
      <c r="G85" s="187">
        <f t="shared" si="20"/>
        <v>179700</v>
      </c>
      <c r="H85" s="194" t="s">
        <v>356</v>
      </c>
      <c r="I85" s="189">
        <v>6600</v>
      </c>
      <c r="J85" s="189">
        <f t="shared" si="21"/>
        <v>6600</v>
      </c>
      <c r="K85" s="190">
        <v>0.3</v>
      </c>
      <c r="L85" s="191">
        <f t="shared" si="23"/>
        <v>9429</v>
      </c>
      <c r="M85" s="191">
        <f t="shared" si="24"/>
        <v>9429</v>
      </c>
    </row>
    <row r="86" spans="1:13" ht="25.5">
      <c r="A86" s="205" t="s">
        <v>41</v>
      </c>
      <c r="B86" s="205"/>
      <c r="C86" s="205"/>
      <c r="D86" s="205"/>
      <c r="E86" s="205"/>
      <c r="F86" s="205"/>
      <c r="G86" s="206">
        <f>SUM(G4:G85)</f>
        <v>4594010</v>
      </c>
      <c r="H86" s="194"/>
      <c r="I86" s="207" t="s">
        <v>401</v>
      </c>
      <c r="J86" s="208">
        <f>SUM(J4:J65)</f>
        <v>3384391</v>
      </c>
      <c r="K86" s="191"/>
      <c r="L86" s="191"/>
      <c r="M86" s="209"/>
    </row>
    <row r="87" spans="1:13">
      <c r="A87" s="210" t="s">
        <v>402</v>
      </c>
      <c r="B87" s="210"/>
      <c r="C87" s="210"/>
      <c r="D87" s="210"/>
      <c r="E87" s="210"/>
      <c r="F87" s="210"/>
      <c r="G87" s="211">
        <f>G86*18%</f>
        <v>826921.79999999993</v>
      </c>
      <c r="H87" s="194"/>
      <c r="I87" s="212" t="s">
        <v>380</v>
      </c>
      <c r="J87" s="213">
        <f>SUM(J67:J85)</f>
        <v>323082</v>
      </c>
      <c r="K87" s="190"/>
      <c r="L87" s="214"/>
      <c r="M87" s="215"/>
    </row>
    <row r="88" spans="1:13">
      <c r="A88" s="205" t="s">
        <v>403</v>
      </c>
      <c r="B88" s="205"/>
      <c r="C88" s="205"/>
      <c r="D88" s="205"/>
      <c r="E88" s="205"/>
      <c r="F88" s="205"/>
      <c r="G88" s="216">
        <f>G86+G87</f>
        <v>5420931.7999999998</v>
      </c>
      <c r="H88" s="194"/>
      <c r="I88" s="212" t="s">
        <v>404</v>
      </c>
      <c r="J88" s="213">
        <v>100000</v>
      </c>
      <c r="K88" s="217"/>
      <c r="L88" s="217"/>
      <c r="M88" s="217"/>
    </row>
    <row r="89" spans="1:13">
      <c r="I89" s="212" t="s">
        <v>405</v>
      </c>
      <c r="J89" s="213">
        <v>50000</v>
      </c>
    </row>
    <row r="90" spans="1:13">
      <c r="I90" s="212" t="s">
        <v>406</v>
      </c>
      <c r="J90" s="213">
        <v>25000</v>
      </c>
      <c r="K90" s="179"/>
      <c r="M90" s="179"/>
    </row>
    <row r="91" spans="1:13">
      <c r="I91" s="218" t="s">
        <v>330</v>
      </c>
      <c r="J91" s="219">
        <f>SUM(J86:J90)</f>
        <v>3882473</v>
      </c>
    </row>
    <row r="92" spans="1:13">
      <c r="I92" s="212" t="s">
        <v>27</v>
      </c>
      <c r="J92" s="220">
        <f>J93/J94</f>
        <v>0.15488364195985643</v>
      </c>
    </row>
    <row r="93" spans="1:13">
      <c r="I93" s="212" t="s">
        <v>407</v>
      </c>
      <c r="J93" s="221">
        <f>J94-J91</f>
        <v>711537</v>
      </c>
    </row>
    <row r="94" spans="1:13">
      <c r="I94" s="218" t="s">
        <v>408</v>
      </c>
      <c r="J94" s="219">
        <f>G86</f>
        <v>4594010</v>
      </c>
    </row>
    <row r="98" spans="9:11">
      <c r="K98" s="183"/>
    </row>
    <row r="99" spans="9:11">
      <c r="K99" s="222"/>
    </row>
    <row r="102" spans="9:11">
      <c r="I102" s="223"/>
      <c r="J102" s="224"/>
    </row>
  </sheetData>
  <mergeCells count="4">
    <mergeCell ref="A1:G1"/>
    <mergeCell ref="A86:F86"/>
    <mergeCell ref="A87:F87"/>
    <mergeCell ref="A88:F8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06CC-1070-4E0D-ACF2-6DDAD48B7CC0}">
  <dimension ref="A1:M27"/>
  <sheetViews>
    <sheetView showGridLines="0" topLeftCell="A4" workbookViewId="0">
      <selection activeCell="A20" sqref="A20"/>
    </sheetView>
  </sheetViews>
  <sheetFormatPr defaultRowHeight="15"/>
  <cols>
    <col min="1" max="1" width="15.85546875" customWidth="1"/>
    <col min="2" max="2" width="2.42578125" customWidth="1"/>
    <col min="3" max="3" width="15.42578125" bestFit="1" customWidth="1"/>
    <col min="4" max="4" width="2.42578125" customWidth="1"/>
    <col min="5" max="5" width="6.42578125" customWidth="1"/>
    <col min="6" max="6" width="2.42578125" customWidth="1"/>
    <col min="7" max="7" width="26.42578125" bestFit="1" customWidth="1"/>
    <col min="8" max="8" width="4.42578125" customWidth="1"/>
    <col min="9" max="9" width="18.5703125" bestFit="1" customWidth="1"/>
    <col min="10" max="10" width="36" bestFit="1" customWidth="1"/>
    <col min="11" max="11" width="4.5703125" customWidth="1"/>
    <col min="12" max="12" width="27.85546875" customWidth="1"/>
    <col min="13" max="13" width="21.42578125" customWidth="1"/>
  </cols>
  <sheetData>
    <row r="1" spans="1:13">
      <c r="A1" s="8" t="s">
        <v>83</v>
      </c>
      <c r="C1" s="6" t="s">
        <v>84</v>
      </c>
      <c r="E1" s="4" t="s">
        <v>85</v>
      </c>
      <c r="G1" s="2" t="s">
        <v>86</v>
      </c>
      <c r="I1" s="172" t="s">
        <v>33</v>
      </c>
      <c r="J1" s="172"/>
      <c r="L1" s="61" t="s">
        <v>35</v>
      </c>
    </row>
    <row r="2" spans="1:13">
      <c r="A2" s="124" t="s">
        <v>87</v>
      </c>
      <c r="C2" s="7" t="s">
        <v>88</v>
      </c>
      <c r="E2" s="5" t="s">
        <v>89</v>
      </c>
      <c r="G2" s="125" t="s">
        <v>90</v>
      </c>
      <c r="I2" s="63" t="s">
        <v>38</v>
      </c>
      <c r="J2" s="63" t="s">
        <v>91</v>
      </c>
      <c r="L2" s="126" t="s">
        <v>92</v>
      </c>
      <c r="M2" s="127" t="s">
        <v>93</v>
      </c>
    </row>
    <row r="3" spans="1:13">
      <c r="A3" s="9" t="s">
        <v>94</v>
      </c>
      <c r="C3" s="7" t="s">
        <v>95</v>
      </c>
      <c r="E3" s="5" t="s">
        <v>96</v>
      </c>
      <c r="G3" s="3" t="s">
        <v>36</v>
      </c>
      <c r="I3" s="63" t="s">
        <v>97</v>
      </c>
      <c r="J3" s="63" t="s">
        <v>98</v>
      </c>
      <c r="L3" s="126" t="s">
        <v>99</v>
      </c>
      <c r="M3" s="127" t="s">
        <v>100</v>
      </c>
    </row>
    <row r="4" spans="1:13">
      <c r="A4" s="9" t="s">
        <v>101</v>
      </c>
      <c r="C4" s="7" t="s">
        <v>102</v>
      </c>
      <c r="E4" s="5" t="s">
        <v>103</v>
      </c>
      <c r="G4" s="125" t="s">
        <v>104</v>
      </c>
      <c r="I4" s="63" t="s">
        <v>105</v>
      </c>
      <c r="J4" s="63" t="s">
        <v>106</v>
      </c>
      <c r="L4" s="126" t="s">
        <v>107</v>
      </c>
    </row>
    <row r="5" spans="1:13">
      <c r="A5" s="9" t="s">
        <v>108</v>
      </c>
      <c r="C5" s="7" t="s">
        <v>109</v>
      </c>
      <c r="E5" s="5" t="s">
        <v>110</v>
      </c>
      <c r="I5" s="63" t="s">
        <v>111</v>
      </c>
      <c r="J5" s="63" t="s">
        <v>112</v>
      </c>
      <c r="L5" s="126" t="s">
        <v>113</v>
      </c>
    </row>
    <row r="6" spans="1:13">
      <c r="I6" s="63" t="s">
        <v>114</v>
      </c>
      <c r="J6" s="63" t="s">
        <v>115</v>
      </c>
      <c r="L6" s="126" t="s">
        <v>116</v>
      </c>
    </row>
    <row r="7" spans="1:13">
      <c r="I7" s="63" t="s">
        <v>117</v>
      </c>
      <c r="J7" s="63" t="s">
        <v>118</v>
      </c>
      <c r="L7" s="5" t="s">
        <v>119</v>
      </c>
    </row>
    <row r="8" spans="1:13">
      <c r="I8" s="63" t="s">
        <v>120</v>
      </c>
      <c r="J8" s="63" t="s">
        <v>121</v>
      </c>
      <c r="L8" s="62" t="s">
        <v>122</v>
      </c>
    </row>
    <row r="9" spans="1:13">
      <c r="I9" s="63" t="s">
        <v>96</v>
      </c>
      <c r="J9" s="63" t="s">
        <v>123</v>
      </c>
      <c r="L9" s="125" t="s">
        <v>124</v>
      </c>
    </row>
    <row r="10" spans="1:13">
      <c r="L10" s="125" t="s">
        <v>40</v>
      </c>
    </row>
    <row r="11" spans="1:13">
      <c r="L11" s="125" t="s">
        <v>125</v>
      </c>
    </row>
    <row r="12" spans="1:13">
      <c r="A12" s="74" t="s">
        <v>126</v>
      </c>
      <c r="L12" s="125" t="s">
        <v>127</v>
      </c>
    </row>
    <row r="13" spans="1:13">
      <c r="L13" s="125" t="s">
        <v>128</v>
      </c>
    </row>
    <row r="14" spans="1:13">
      <c r="A14" s="76" t="s">
        <v>129</v>
      </c>
      <c r="B14" s="74"/>
      <c r="C14" s="74"/>
      <c r="D14" s="74"/>
      <c r="E14" s="74"/>
      <c r="F14" s="74"/>
      <c r="G14" s="76" t="s">
        <v>130</v>
      </c>
      <c r="J14" s="76" t="s">
        <v>166</v>
      </c>
      <c r="L14" s="128" t="s">
        <v>131</v>
      </c>
    </row>
    <row r="15" spans="1:13">
      <c r="A15" s="75" t="s">
        <v>132</v>
      </c>
      <c r="G15" s="129" t="s">
        <v>39</v>
      </c>
      <c r="J15" s="129" t="s">
        <v>167</v>
      </c>
      <c r="L15" s="1" t="s">
        <v>133</v>
      </c>
    </row>
    <row r="16" spans="1:13">
      <c r="A16" s="75" t="s">
        <v>37</v>
      </c>
      <c r="B16" s="127" t="s">
        <v>134</v>
      </c>
      <c r="G16" s="133" t="s">
        <v>165</v>
      </c>
      <c r="J16" s="129" t="s">
        <v>97</v>
      </c>
      <c r="L16" s="130" t="s">
        <v>136</v>
      </c>
    </row>
    <row r="17" spans="1:13">
      <c r="A17" s="75" t="s">
        <v>161</v>
      </c>
      <c r="B17" s="132" t="s">
        <v>162</v>
      </c>
      <c r="G17" s="129" t="s">
        <v>5</v>
      </c>
      <c r="H17" s="127" t="s">
        <v>135</v>
      </c>
      <c r="J17" s="129" t="s">
        <v>105</v>
      </c>
      <c r="L17" s="130" t="s">
        <v>138</v>
      </c>
    </row>
    <row r="18" spans="1:13">
      <c r="A18" s="75" t="s">
        <v>163</v>
      </c>
      <c r="B18" s="127"/>
      <c r="G18" s="129" t="s">
        <v>4</v>
      </c>
      <c r="H18" s="127" t="s">
        <v>137</v>
      </c>
      <c r="J18" s="129" t="s">
        <v>168</v>
      </c>
      <c r="L18" s="130" t="s">
        <v>141</v>
      </c>
      <c r="M18" s="127" t="s">
        <v>142</v>
      </c>
    </row>
    <row r="19" spans="1:13">
      <c r="A19" s="75" t="s">
        <v>164</v>
      </c>
      <c r="B19" s="127"/>
      <c r="J19" s="129" t="s">
        <v>169</v>
      </c>
      <c r="L19" s="130" t="s">
        <v>145</v>
      </c>
    </row>
    <row r="20" spans="1:13">
      <c r="A20" s="75" t="s">
        <v>175</v>
      </c>
      <c r="B20" s="127"/>
      <c r="J20" s="129" t="s">
        <v>170</v>
      </c>
      <c r="L20" s="130" t="s">
        <v>147</v>
      </c>
      <c r="M20" s="127" t="s">
        <v>148</v>
      </c>
    </row>
    <row r="21" spans="1:13">
      <c r="A21" s="75" t="s">
        <v>139</v>
      </c>
      <c r="B21" s="127" t="s">
        <v>140</v>
      </c>
      <c r="L21" s="129" t="s">
        <v>150</v>
      </c>
    </row>
    <row r="22" spans="1:13">
      <c r="A22" s="75" t="s">
        <v>143</v>
      </c>
      <c r="B22" s="127" t="s">
        <v>144</v>
      </c>
      <c r="L22" s="129" t="s">
        <v>151</v>
      </c>
    </row>
    <row r="23" spans="1:13">
      <c r="A23" s="75" t="s">
        <v>146</v>
      </c>
      <c r="L23" s="129" t="s">
        <v>152</v>
      </c>
    </row>
    <row r="24" spans="1:13">
      <c r="A24" s="75" t="s">
        <v>149</v>
      </c>
      <c r="L24" s="131" t="s">
        <v>153</v>
      </c>
      <c r="M24" s="127" t="s">
        <v>154</v>
      </c>
    </row>
    <row r="25" spans="1:13">
      <c r="L25" s="131" t="s">
        <v>155</v>
      </c>
      <c r="M25" s="127" t="s">
        <v>156</v>
      </c>
    </row>
    <row r="26" spans="1:13">
      <c r="L26" s="131" t="s">
        <v>157</v>
      </c>
      <c r="M26" s="127" t="s">
        <v>158</v>
      </c>
    </row>
    <row r="27" spans="1:13">
      <c r="L27" s="131" t="s">
        <v>159</v>
      </c>
      <c r="M27" s="127" t="s">
        <v>160</v>
      </c>
    </row>
  </sheetData>
  <sortState xmlns:xlrd2="http://schemas.microsoft.com/office/spreadsheetml/2017/richdata2" ref="G2:G4">
    <sortCondition ref="G2:G4"/>
  </sortState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Budget Overview</vt:lpstr>
      <vt:lpstr>Workforce Budget</vt:lpstr>
      <vt:lpstr>AM Costing</vt:lpstr>
      <vt:lpstr>Practices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Nithya .S</cp:lastModifiedBy>
  <cp:revision/>
  <dcterms:created xsi:type="dcterms:W3CDTF">2022-03-24T04:09:00Z</dcterms:created>
  <dcterms:modified xsi:type="dcterms:W3CDTF">2026-04-22T12:34:53Z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069781F054074497AEC8F4F15F2828EB</vt:lpwstr>
  </property>
  <property fmtid="{D5CDD505-2E9C-101B-9397-08002B2CF9AE}" pid="3" name="KSOProductBuildVer">
    <vt:lpwstr>1033-11.2.0.11167</vt:lpwstr>
  </property>
  <property fmtid="{D5CDD505-2E9C-101B-9397-08002B2CF9AE}" pid="4" name="KSOReadingLayout">
    <vt:bool>true</vt:bool>
  </property>
</Properties>
</file>