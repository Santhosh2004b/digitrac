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ales Operations-08.01.24\FY26-27\2.Elgi\"/>
    </mc:Choice>
  </mc:AlternateContent>
  <xr:revisionPtr revIDLastSave="0" documentId="13_ncr:1_{AC94EFD0-4636-45F9-B4DD-C7C5A90E8A2C}" xr6:coauthVersionLast="47" xr6:coauthVersionMax="47" xr10:uidLastSave="{00000000-0000-0000-0000-000000000000}"/>
  <bookViews>
    <workbookView xWindow="-120" yWindow="-120" windowWidth="20730" windowHeight="11040" tabRatio="432" xr2:uid="{00000000-000D-0000-FFFF-FFFF00000000}"/>
  </bookViews>
  <sheets>
    <sheet name="Project Budget Overview" sheetId="12" r:id="rId1"/>
    <sheet name="Workforce Budget" sheetId="4" r:id="rId2"/>
    <sheet name="Practices" sheetId="17" state="hidden" r:id="rId3"/>
  </sheets>
  <definedNames>
    <definedName name="_xlnm._FilterDatabase" localSheetId="0" hidden="1">'Project Budget Overview'!$B$27:$M$29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2" l="1"/>
  <c r="C23" i="12" s="1"/>
  <c r="E11" i="4" l="1"/>
  <c r="F11" i="4"/>
  <c r="G11" i="4"/>
  <c r="H11" i="4"/>
  <c r="I11" i="4"/>
  <c r="J11" i="4"/>
  <c r="K11" i="4"/>
  <c r="L11" i="4"/>
  <c r="M11" i="4"/>
  <c r="N11" i="4"/>
  <c r="O11" i="4"/>
  <c r="D11" i="4"/>
  <c r="C40" i="4"/>
  <c r="E30" i="4"/>
  <c r="F30" i="4"/>
  <c r="G30" i="4"/>
  <c r="H30" i="4"/>
  <c r="I30" i="4"/>
  <c r="J30" i="4"/>
  <c r="K30" i="4"/>
  <c r="L30" i="4"/>
  <c r="M30" i="4"/>
  <c r="N30" i="4"/>
  <c r="O30" i="4"/>
  <c r="D30" i="4"/>
  <c r="O31" i="4" s="1"/>
  <c r="O23" i="4"/>
  <c r="E23" i="4"/>
  <c r="F23" i="4"/>
  <c r="G23" i="4"/>
  <c r="H23" i="4"/>
  <c r="I23" i="4"/>
  <c r="J23" i="4"/>
  <c r="K23" i="4"/>
  <c r="L23" i="4"/>
  <c r="M23" i="4"/>
  <c r="N23" i="4"/>
  <c r="D23" i="4"/>
  <c r="H28" i="12"/>
  <c r="L28" i="12" s="1"/>
  <c r="F28" i="12"/>
  <c r="D17" i="4"/>
  <c r="M28" i="12" l="1"/>
  <c r="I28" i="12"/>
  <c r="J28" i="12" s="1"/>
  <c r="N17" i="4"/>
  <c r="M17" i="4"/>
  <c r="L17" i="4"/>
  <c r="K17" i="4"/>
  <c r="I17" i="4"/>
  <c r="H17" i="4"/>
  <c r="G17" i="4"/>
  <c r="F17" i="4"/>
  <c r="O17" i="4"/>
  <c r="J17" i="4"/>
  <c r="C18" i="12" s="1"/>
  <c r="E17" i="4"/>
  <c r="H29" i="12"/>
  <c r="F29" i="12"/>
  <c r="O18" i="4" l="1"/>
  <c r="I29" i="12"/>
  <c r="J29" i="12" s="1"/>
  <c r="C13" i="12"/>
  <c r="C14" i="12"/>
  <c r="M29" i="12" l="1"/>
  <c r="L29" i="12"/>
  <c r="C15" i="12" s="1"/>
  <c r="C16" i="12" s="1"/>
  <c r="C20" i="12" l="1"/>
  <c r="C21" i="12" s="1"/>
  <c r="C24" i="12" s="1"/>
</calcChain>
</file>

<file path=xl/sharedStrings.xml><?xml version="1.0" encoding="utf-8"?>
<sst xmlns="http://schemas.openxmlformats.org/spreadsheetml/2006/main" count="217" uniqueCount="190">
  <si>
    <t xml:space="preserve">ARCHE GLOBAL PRIVATE LIMITED  </t>
  </si>
  <si>
    <t>Account Manager</t>
  </si>
  <si>
    <t>Customer</t>
  </si>
  <si>
    <t>SBU</t>
  </si>
  <si>
    <t>Professional Service</t>
  </si>
  <si>
    <t>Managed Service</t>
  </si>
  <si>
    <t>Project</t>
  </si>
  <si>
    <t>Project Duration</t>
  </si>
  <si>
    <t>PO Reference</t>
  </si>
  <si>
    <t>Amendment Details</t>
  </si>
  <si>
    <t>Project Budget Overview</t>
  </si>
  <si>
    <t>Total Cost Price</t>
  </si>
  <si>
    <t>Total Sell Price</t>
  </si>
  <si>
    <t>GST</t>
  </si>
  <si>
    <t>Total Sell Price with GST</t>
  </si>
  <si>
    <t xml:space="preserve">PMC Cost </t>
  </si>
  <si>
    <t xml:space="preserve">Freight Cost / Bank Charges </t>
  </si>
  <si>
    <t>Margin Amount</t>
  </si>
  <si>
    <t xml:space="preserve">Margin % </t>
  </si>
  <si>
    <t>Sl.No</t>
  </si>
  <si>
    <t>SAP Material ID</t>
  </si>
  <si>
    <t>Description</t>
  </si>
  <si>
    <t>Qty</t>
  </si>
  <si>
    <t>Purchase Unit Price</t>
  </si>
  <si>
    <t>Purchase Total</t>
  </si>
  <si>
    <t>Selling Unit Price</t>
  </si>
  <si>
    <t>Selling Total</t>
  </si>
  <si>
    <t xml:space="preserve">GM </t>
  </si>
  <si>
    <t>GM %</t>
  </si>
  <si>
    <t>GST%</t>
  </si>
  <si>
    <t>GST Value</t>
  </si>
  <si>
    <t>Net Value</t>
  </si>
  <si>
    <t xml:space="preserve">Item Type </t>
  </si>
  <si>
    <t>Sales Region</t>
  </si>
  <si>
    <t>Practice</t>
  </si>
  <si>
    <t>OEM</t>
  </si>
  <si>
    <t>Component</t>
  </si>
  <si>
    <t xml:space="preserve">Services </t>
  </si>
  <si>
    <t>PSU/Govt</t>
  </si>
  <si>
    <t xml:space="preserve">Networking </t>
  </si>
  <si>
    <t>SITC/AMC/Product</t>
  </si>
  <si>
    <t>Cloud-Renewal subscription</t>
  </si>
  <si>
    <t>Total</t>
  </si>
  <si>
    <t>ARCHE GLOBAL PRIVATE LIMITED</t>
  </si>
  <si>
    <t>WORKFORCE BUDGET</t>
  </si>
  <si>
    <t>Manpower  Costing</t>
  </si>
  <si>
    <t>PMC Cost</t>
  </si>
  <si>
    <t>Activity</t>
  </si>
  <si>
    <t>Grades</t>
  </si>
  <si>
    <t>D2</t>
  </si>
  <si>
    <t>D1</t>
  </si>
  <si>
    <t>C4</t>
  </si>
  <si>
    <t>C3</t>
  </si>
  <si>
    <t>C2</t>
  </si>
  <si>
    <t>C1</t>
  </si>
  <si>
    <t>B4</t>
  </si>
  <si>
    <t>B3</t>
  </si>
  <si>
    <t>B2</t>
  </si>
  <si>
    <t>B1</t>
  </si>
  <si>
    <t>A3</t>
  </si>
  <si>
    <t>A2</t>
  </si>
  <si>
    <t>Manhour cost per day</t>
  </si>
  <si>
    <t>Manpower cost per hour</t>
  </si>
  <si>
    <t>Implementation cost</t>
  </si>
  <si>
    <t>Man Hours</t>
  </si>
  <si>
    <t>Man Hours /days cost</t>
  </si>
  <si>
    <t>Travel</t>
  </si>
  <si>
    <t>Food</t>
  </si>
  <si>
    <t>Stay</t>
  </si>
  <si>
    <t>Other Cost</t>
  </si>
  <si>
    <t>SUB TOTAL</t>
  </si>
  <si>
    <t>TOTAL</t>
  </si>
  <si>
    <t>Post Implementation 
TSS</t>
  </si>
  <si>
    <t>Preventive Maintenance Hours</t>
  </si>
  <si>
    <t>Onsite Support Hours</t>
  </si>
  <si>
    <t>Remote Support Hours</t>
  </si>
  <si>
    <t>Admin and Logistics Hours</t>
  </si>
  <si>
    <t>Total Hours</t>
  </si>
  <si>
    <t>Manpower cost for the contract</t>
  </si>
  <si>
    <t>Minimum Man Cost</t>
  </si>
  <si>
    <t>Days</t>
  </si>
  <si>
    <t>Order Processing</t>
  </si>
  <si>
    <t>Billing/Collection</t>
  </si>
  <si>
    <t>Vendor Bills/Payments</t>
  </si>
  <si>
    <t>Region</t>
  </si>
  <si>
    <t>Distribution Channel</t>
  </si>
  <si>
    <t xml:space="preserve">LOB </t>
  </si>
  <si>
    <t xml:space="preserve">Each OP will be classified </t>
  </si>
  <si>
    <t>East</t>
  </si>
  <si>
    <t xml:space="preserve">Alliance </t>
  </si>
  <si>
    <t>DC</t>
  </si>
  <si>
    <t>Hardware</t>
  </si>
  <si>
    <t xml:space="preserve">Router, Switch, WIFi, GPON, NAC, Passive, </t>
  </si>
  <si>
    <t>MS-NOC</t>
  </si>
  <si>
    <t>Remote support-Networking</t>
  </si>
  <si>
    <t xml:space="preserve">North </t>
  </si>
  <si>
    <t xml:space="preserve">Enterprise </t>
  </si>
  <si>
    <t>DT</t>
  </si>
  <si>
    <t>Cybersecurity</t>
  </si>
  <si>
    <t>Firewall, WAF, EDR</t>
  </si>
  <si>
    <t>MS-SOC</t>
  </si>
  <si>
    <t>Remote support-Security</t>
  </si>
  <si>
    <t xml:space="preserve">South </t>
  </si>
  <si>
    <t xml:space="preserve">Public Sector </t>
  </si>
  <si>
    <t>E2C</t>
  </si>
  <si>
    <t>Software</t>
  </si>
  <si>
    <t>Cloud</t>
  </si>
  <si>
    <t>Server , Storage, Backup, Public Cloud, Subscription(AWS/Asure/O365)</t>
  </si>
  <si>
    <t>MS - AMC</t>
  </si>
  <si>
    <t xml:space="preserve">West </t>
  </si>
  <si>
    <t xml:space="preserve">Strategic Projects </t>
  </si>
  <si>
    <t>ET</t>
  </si>
  <si>
    <t xml:space="preserve">Data Centre </t>
  </si>
  <si>
    <t>Civil, Electrical, HVAC,BMS, Passive</t>
  </si>
  <si>
    <t>MS - O&amp;M</t>
  </si>
  <si>
    <t xml:space="preserve">Managed Services </t>
  </si>
  <si>
    <t>O&amp;M, NOC, SOC, AMC, OEM/Netcon Warranty Service</t>
  </si>
  <si>
    <t>MS - Warranty support</t>
  </si>
  <si>
    <t xml:space="preserve">Professional Services </t>
  </si>
  <si>
    <t>Design, Audit, &amp; Advance Implementation</t>
  </si>
  <si>
    <t>Service - Professional Services</t>
  </si>
  <si>
    <t xml:space="preserve">Consulting </t>
  </si>
  <si>
    <t>Advisory Services</t>
  </si>
  <si>
    <t>Service - Consulting</t>
  </si>
  <si>
    <t xml:space="preserve">AI, IOT, Copper, Loop, Special Systems </t>
  </si>
  <si>
    <t>Cloud-New subscription</t>
  </si>
  <si>
    <t>Cloud-Server</t>
  </si>
  <si>
    <t>Arche Global Private Limited</t>
  </si>
  <si>
    <t>Cloud-Storage</t>
  </si>
  <si>
    <t>Cloud-Backup</t>
  </si>
  <si>
    <t>Businees Type</t>
  </si>
  <si>
    <t>Stratergic Business Unit</t>
  </si>
  <si>
    <t>Service -Implementation</t>
  </si>
  <si>
    <t>Net New Business</t>
  </si>
  <si>
    <t>Service - Implementation Outsourced</t>
  </si>
  <si>
    <t>Public Service Unit</t>
  </si>
  <si>
    <t>O&amp;M</t>
  </si>
  <si>
    <t>Networking-Router</t>
  </si>
  <si>
    <t>Consulting</t>
  </si>
  <si>
    <t>Networking-Switch</t>
  </si>
  <si>
    <t>TTL</t>
  </si>
  <si>
    <t>Travel Transport &amp; Logistics</t>
  </si>
  <si>
    <t>Networking-WIFI</t>
  </si>
  <si>
    <t>Access Point</t>
  </si>
  <si>
    <t>GCC</t>
  </si>
  <si>
    <t xml:space="preserve">Global Capability Centres </t>
  </si>
  <si>
    <t>Networking-Passive</t>
  </si>
  <si>
    <t>Delivery</t>
  </si>
  <si>
    <t>Networking-SFP Module</t>
  </si>
  <si>
    <t>Cables,Moduler, Switchboard, Back Box, Patch Cord, Low level items(Nut, Bolt, Spare, Plates, Accessories)</t>
  </si>
  <si>
    <t>Africa</t>
  </si>
  <si>
    <t>Cybersecurity-Firewall</t>
  </si>
  <si>
    <t>Cybersecurity-WAF</t>
  </si>
  <si>
    <t>Cybersecurity-EDR</t>
  </si>
  <si>
    <t>DC-Civil</t>
  </si>
  <si>
    <t>Contruction items.</t>
  </si>
  <si>
    <t>DC-Electrical</t>
  </si>
  <si>
    <t>UPS,Smart rack,battery</t>
  </si>
  <si>
    <t>DC-HVAC</t>
  </si>
  <si>
    <t>A/C, Cooler, Chiller</t>
  </si>
  <si>
    <t>DC-Passive</t>
  </si>
  <si>
    <t>Furniture, Cables, wire, Accessories</t>
  </si>
  <si>
    <t>DPS</t>
  </si>
  <si>
    <t>Digital Professional Service</t>
  </si>
  <si>
    <t>Africa-Direct</t>
  </si>
  <si>
    <t>Apple</t>
  </si>
  <si>
    <t>Rebates</t>
  </si>
  <si>
    <t>New Practice</t>
  </si>
  <si>
    <t>Networking</t>
  </si>
  <si>
    <t>DC / Consulting</t>
  </si>
  <si>
    <t>Collaboration</t>
  </si>
  <si>
    <t>AI &amp; Data</t>
  </si>
  <si>
    <t>Margin Target</t>
  </si>
  <si>
    <t>Margin Deviation  %</t>
  </si>
  <si>
    <t>Margin Deviation Justification (in case of Negative Deviation)</t>
  </si>
  <si>
    <t xml:space="preserve">Over Head </t>
  </si>
  <si>
    <t>FY 26 Margin Targets</t>
  </si>
  <si>
    <t>Partner Business</t>
  </si>
  <si>
    <t>Customer Payment term</t>
  </si>
  <si>
    <t>Vendor Payment Terms</t>
  </si>
  <si>
    <t>Elgi Equipment Limited</t>
  </si>
  <si>
    <t>GSC Plant 8Port Switches</t>
  </si>
  <si>
    <t>Mohan D</t>
  </si>
  <si>
    <t>3 to 4 Weeks from the date of PO</t>
  </si>
  <si>
    <t>CAP001922</t>
  </si>
  <si>
    <t>Nil</t>
  </si>
  <si>
    <t>C1300-8T-E-2G</t>
  </si>
  <si>
    <t>Catalyst 1300 8-Port Gigabit Switch</t>
  </si>
  <si>
    <t>Cisco</t>
  </si>
  <si>
    <t>Immediate against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</si>
</sst>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%"/>
    <numFmt numFmtId="165" formatCode="_(* #,##0.00_);_(* \(#,##0.00\);_(* &quot;-&quot;??_);_(@_)"/>
    <numFmt numFmtId="166" formatCode="00"/>
    <numFmt numFmtId="167" formatCode="0.000%"/>
    <numFmt numFmtId="168" formatCode="_ * #,##0_ ;_ * \-#,##0_ ;_ * &quot;-&quot;??_ ;_ @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Grandview"/>
      <family val="2"/>
    </font>
    <font>
      <b/>
      <sz val="12"/>
      <color theme="1"/>
      <name val="Grandview"/>
      <family val="2"/>
    </font>
    <font>
      <b/>
      <sz val="11"/>
      <color theme="1"/>
      <name val="Grandview"/>
      <family val="2"/>
    </font>
    <font>
      <b/>
      <sz val="11"/>
      <color theme="0"/>
      <name val="Grandview"/>
      <family val="2"/>
    </font>
    <font>
      <b/>
      <sz val="11"/>
      <color indexed="8"/>
      <name val="Grandview"/>
      <family val="2"/>
    </font>
    <font>
      <b/>
      <sz val="11"/>
      <color rgb="FF000000"/>
      <name val="Grandview"/>
      <family val="2"/>
    </font>
    <font>
      <b/>
      <sz val="14"/>
      <name val="Grandview"/>
      <family val="2"/>
    </font>
    <font>
      <b/>
      <sz val="18"/>
      <color theme="1"/>
      <name val="Grandview"/>
      <family val="2"/>
    </font>
    <font>
      <b/>
      <u/>
      <sz val="14"/>
      <color theme="1"/>
      <name val="Grandview"/>
      <family val="2"/>
    </font>
    <font>
      <b/>
      <sz val="11"/>
      <color theme="0"/>
      <name val="Calibri"/>
      <family val="2"/>
      <scheme val="minor"/>
    </font>
    <font>
      <sz val="12"/>
      <color theme="1"/>
      <name val="Kalinga"/>
      <family val="2"/>
    </font>
    <font>
      <b/>
      <sz val="12"/>
      <color theme="1"/>
      <name val="Kalinga"/>
      <family val="2"/>
    </font>
    <font>
      <b/>
      <sz val="14"/>
      <color theme="0"/>
      <name val="Kalinga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Grandview"/>
      <family val="2"/>
    </font>
    <font>
      <b/>
      <sz val="12"/>
      <color rgb="FF00B050"/>
      <name val="Kalinga"/>
      <family val="2"/>
    </font>
    <font>
      <b/>
      <sz val="12"/>
      <color rgb="FFFF0000"/>
      <name val="Kalinga"/>
      <family val="2"/>
    </font>
  </fonts>
  <fills count="26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41"/>
      </patternFill>
    </fill>
    <fill>
      <patternFill patternType="solid">
        <fgColor theme="7" tint="0.79998168889431442"/>
        <bgColor indexed="2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41"/>
      </patternFill>
    </fill>
    <fill>
      <patternFill patternType="solid">
        <fgColor theme="2"/>
        <bgColor indexed="2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7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" fillId="0" borderId="0"/>
    <xf numFmtId="0" fontId="7" fillId="0" borderId="0"/>
    <xf numFmtId="0" fontId="8" fillId="0" borderId="0"/>
    <xf numFmtId="0" fontId="4" fillId="0" borderId="0"/>
    <xf numFmtId="0" fontId="10" fillId="0" borderId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4">
    <xf numFmtId="0" fontId="0" fillId="0" borderId="0" xfId="0"/>
    <xf numFmtId="0" fontId="0" fillId="12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8" borderId="1" xfId="0" applyFont="1" applyFill="1" applyBorder="1"/>
    <xf numFmtId="0" fontId="0" fillId="8" borderId="1" xfId="0" applyFill="1" applyBorder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3" fontId="11" fillId="0" borderId="0" xfId="1" applyFont="1" applyFill="1" applyAlignment="1">
      <alignment vertical="center"/>
    </xf>
    <xf numFmtId="0" fontId="11" fillId="0" borderId="0" xfId="0" applyFont="1" applyAlignment="1">
      <alignment vertical="center"/>
    </xf>
    <xf numFmtId="4" fontId="11" fillId="0" borderId="0" xfId="0" applyNumberFormat="1" applyFont="1" applyAlignment="1">
      <alignment vertical="center"/>
    </xf>
    <xf numFmtId="43" fontId="13" fillId="0" borderId="0" xfId="1" applyFont="1" applyBorder="1" applyAlignment="1">
      <alignment vertical="center"/>
    </xf>
    <xf numFmtId="43" fontId="13" fillId="0" borderId="0" xfId="1" applyFont="1" applyFill="1" applyBorder="1" applyAlignment="1">
      <alignment vertical="center"/>
    </xf>
    <xf numFmtId="167" fontId="13" fillId="0" borderId="0" xfId="2" applyNumberFormat="1" applyFont="1" applyBorder="1" applyAlignment="1">
      <alignment vertical="center"/>
    </xf>
    <xf numFmtId="43" fontId="11" fillId="0" borderId="0" xfId="0" applyNumberFormat="1" applyFont="1" applyAlignment="1">
      <alignment horizontal="center" vertical="center"/>
    </xf>
    <xf numFmtId="164" fontId="13" fillId="0" borderId="0" xfId="2" applyNumberFormat="1" applyFont="1" applyBorder="1" applyAlignment="1">
      <alignment vertical="center"/>
    </xf>
    <xf numFmtId="43" fontId="11" fillId="0" borderId="0" xfId="0" applyNumberFormat="1" applyFont="1" applyAlignment="1">
      <alignment vertical="center"/>
    </xf>
    <xf numFmtId="9" fontId="11" fillId="0" borderId="0" xfId="2" applyFont="1" applyFill="1" applyBorder="1" applyAlignment="1">
      <alignment vertical="center"/>
    </xf>
    <xf numFmtId="9" fontId="11" fillId="0" borderId="0" xfId="2" applyFont="1" applyAlignment="1">
      <alignment vertical="center"/>
    </xf>
    <xf numFmtId="0" fontId="11" fillId="0" borderId="0" xfId="0" applyFont="1"/>
    <xf numFmtId="0" fontId="16" fillId="2" borderId="1" xfId="0" applyFont="1" applyFill="1" applyBorder="1" applyAlignment="1">
      <alignment horizontal="center" vertical="center"/>
    </xf>
    <xf numFmtId="0" fontId="15" fillId="3" borderId="1" xfId="5" applyFont="1" applyFill="1" applyBorder="1" applyAlignment="1">
      <alignment horizontal="center"/>
    </xf>
    <xf numFmtId="0" fontId="15" fillId="3" borderId="5" xfId="5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/>
    </xf>
    <xf numFmtId="0" fontId="15" fillId="5" borderId="2" xfId="5" applyFont="1" applyFill="1" applyBorder="1" applyAlignment="1">
      <alignment horizontal="left"/>
    </xf>
    <xf numFmtId="0" fontId="15" fillId="5" borderId="1" xfId="5" applyFont="1" applyFill="1" applyBorder="1" applyAlignment="1">
      <alignment horizontal="center"/>
    </xf>
    <xf numFmtId="0" fontId="13" fillId="10" borderId="2" xfId="0" applyFont="1" applyFill="1" applyBorder="1" applyAlignment="1">
      <alignment wrapText="1"/>
    </xf>
    <xf numFmtId="0" fontId="13" fillId="0" borderId="1" xfId="0" applyFont="1" applyBorder="1" applyAlignment="1">
      <alignment horizontal="center"/>
    </xf>
    <xf numFmtId="43" fontId="13" fillId="6" borderId="1" xfId="1" applyFont="1" applyFill="1" applyBorder="1" applyAlignment="1">
      <alignment horizontal="center"/>
    </xf>
    <xf numFmtId="43" fontId="15" fillId="7" borderId="4" xfId="1" applyFont="1" applyFill="1" applyBorder="1" applyAlignment="1" applyProtection="1">
      <alignment horizontal="center"/>
    </xf>
    <xf numFmtId="43" fontId="13" fillId="0" borderId="1" xfId="1" applyFont="1" applyBorder="1" applyAlignment="1">
      <alignment horizontal="center"/>
    </xf>
    <xf numFmtId="43" fontId="13" fillId="4" borderId="2" xfId="1" applyFont="1" applyFill="1" applyBorder="1" applyAlignment="1"/>
    <xf numFmtId="43" fontId="13" fillId="4" borderId="3" xfId="1" applyFont="1" applyFill="1" applyBorder="1" applyAlignment="1"/>
    <xf numFmtId="43" fontId="16" fillId="2" borderId="1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3" fontId="11" fillId="0" borderId="0" xfId="1" applyFont="1"/>
    <xf numFmtId="0" fontId="13" fillId="0" borderId="0" xfId="0" applyFont="1"/>
    <xf numFmtId="0" fontId="13" fillId="0" borderId="0" xfId="0" applyFont="1" applyAlignment="1">
      <alignment wrapText="1"/>
    </xf>
    <xf numFmtId="0" fontId="15" fillId="3" borderId="13" xfId="5" applyFont="1" applyFill="1" applyBorder="1" applyAlignment="1">
      <alignment horizontal="center"/>
    </xf>
    <xf numFmtId="1" fontId="16" fillId="2" borderId="13" xfId="0" applyNumberFormat="1" applyFont="1" applyFill="1" applyBorder="1" applyAlignment="1">
      <alignment horizontal="center" vertical="center"/>
    </xf>
    <xf numFmtId="0" fontId="11" fillId="4" borderId="11" xfId="0" applyFont="1" applyFill="1" applyBorder="1"/>
    <xf numFmtId="0" fontId="15" fillId="5" borderId="13" xfId="5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43" fontId="15" fillId="7" borderId="14" xfId="1" applyFont="1" applyFill="1" applyBorder="1" applyAlignment="1" applyProtection="1">
      <alignment horizontal="center"/>
    </xf>
    <xf numFmtId="43" fontId="13" fillId="0" borderId="13" xfId="1" applyFont="1" applyBorder="1" applyAlignment="1">
      <alignment horizontal="center"/>
    </xf>
    <xf numFmtId="43" fontId="13" fillId="4" borderId="12" xfId="1" applyFont="1" applyFill="1" applyBorder="1" applyAlignment="1"/>
    <xf numFmtId="43" fontId="16" fillId="2" borderId="13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43" fontId="13" fillId="4" borderId="18" xfId="1" applyFont="1" applyFill="1" applyBorder="1" applyAlignment="1"/>
    <xf numFmtId="43" fontId="13" fillId="4" borderId="17" xfId="1" applyFont="1" applyFill="1" applyBorder="1" applyAlignment="1"/>
    <xf numFmtId="43" fontId="13" fillId="4" borderId="19" xfId="1" applyFont="1" applyFill="1" applyBorder="1" applyAlignment="1"/>
    <xf numFmtId="0" fontId="11" fillId="0" borderId="1" xfId="0" applyFont="1" applyBorder="1" applyAlignment="1">
      <alignment horizontal="left" vertical="center"/>
    </xf>
    <xf numFmtId="43" fontId="11" fillId="0" borderId="1" xfId="0" applyNumberFormat="1" applyFont="1" applyBorder="1" applyAlignment="1">
      <alignment horizontal="left" vertical="center"/>
    </xf>
    <xf numFmtId="0" fontId="13" fillId="10" borderId="0" xfId="0" applyFont="1" applyFill="1"/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5" fillId="12" borderId="1" xfId="0" applyFont="1" applyFill="1" applyBorder="1"/>
    <xf numFmtId="0" fontId="0" fillId="14" borderId="1" xfId="0" applyFill="1" applyBorder="1"/>
    <xf numFmtId="0" fontId="0" fillId="16" borderId="1" xfId="0" applyFill="1" applyBorder="1"/>
    <xf numFmtId="0" fontId="17" fillId="0" borderId="0" xfId="0" applyFont="1" applyAlignment="1">
      <alignment horizontal="center" vertical="center"/>
    </xf>
    <xf numFmtId="0" fontId="15" fillId="18" borderId="2" xfId="5" applyFont="1" applyFill="1" applyBorder="1" applyAlignment="1">
      <alignment horizontal="left"/>
    </xf>
    <xf numFmtId="0" fontId="15" fillId="19" borderId="4" xfId="5" applyFont="1" applyFill="1" applyBorder="1" applyAlignment="1">
      <alignment horizontal="center"/>
    </xf>
    <xf numFmtId="0" fontId="15" fillId="19" borderId="5" xfId="5" applyFont="1" applyFill="1" applyBorder="1" applyAlignment="1">
      <alignment horizontal="center"/>
    </xf>
    <xf numFmtId="0" fontId="15" fillId="19" borderId="1" xfId="5" applyFont="1" applyFill="1" applyBorder="1" applyAlignment="1">
      <alignment horizontal="center"/>
    </xf>
    <xf numFmtId="0" fontId="15" fillId="19" borderId="13" xfId="5" applyFont="1" applyFill="1" applyBorder="1" applyAlignment="1">
      <alignment horizontal="center"/>
    </xf>
    <xf numFmtId="0" fontId="13" fillId="10" borderId="2" xfId="0" applyFont="1" applyFill="1" applyBorder="1" applyAlignment="1">
      <alignment horizontal="left" wrapText="1"/>
    </xf>
    <xf numFmtId="0" fontId="13" fillId="10" borderId="1" xfId="0" applyFont="1" applyFill="1" applyBorder="1" applyAlignment="1">
      <alignment wrapText="1"/>
    </xf>
    <xf numFmtId="0" fontId="18" fillId="0" borderId="0" xfId="0" applyFont="1"/>
    <xf numFmtId="0" fontId="19" fillId="0" borderId="0" xfId="0" applyFont="1"/>
    <xf numFmtId="0" fontId="5" fillId="0" borderId="0" xfId="0" applyFont="1"/>
    <xf numFmtId="0" fontId="0" fillId="0" borderId="1" xfId="0" applyBorder="1"/>
    <xf numFmtId="0" fontId="20" fillId="17" borderId="1" xfId="0" applyFont="1" applyFill="1" applyBorder="1"/>
    <xf numFmtId="0" fontId="22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0" fontId="13" fillId="0" borderId="0" xfId="2" applyNumberFormat="1" applyFont="1" applyFill="1" applyBorder="1" applyAlignment="1">
      <alignment vertical="center"/>
    </xf>
    <xf numFmtId="0" fontId="22" fillId="21" borderId="1" xfId="0" applyFont="1" applyFill="1" applyBorder="1" applyAlignment="1">
      <alignment horizontal="left" vertical="center"/>
    </xf>
    <xf numFmtId="10" fontId="22" fillId="21" borderId="1" xfId="2" applyNumberFormat="1" applyFont="1" applyFill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168" fontId="21" fillId="0" borderId="1" xfId="1" applyNumberFormat="1" applyFont="1" applyFill="1" applyBorder="1" applyAlignment="1">
      <alignment vertical="center"/>
    </xf>
    <xf numFmtId="168" fontId="22" fillId="0" borderId="1" xfId="1" applyNumberFormat="1" applyFont="1" applyFill="1" applyBorder="1" applyAlignment="1">
      <alignment vertical="center"/>
    </xf>
    <xf numFmtId="0" fontId="21" fillId="6" borderId="2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left" vertical="center"/>
    </xf>
    <xf numFmtId="0" fontId="21" fillId="6" borderId="5" xfId="0" applyFont="1" applyFill="1" applyBorder="1" applyAlignment="1">
      <alignment horizontal="left" vertical="center"/>
    </xf>
    <xf numFmtId="0" fontId="24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 wrapText="1"/>
    </xf>
    <xf numFmtId="43" fontId="24" fillId="15" borderId="1" xfId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66" fontId="26" fillId="0" borderId="7" xfId="7" applyNumberFormat="1" applyFont="1" applyBorder="1" applyAlignment="1">
      <alignment horizontal="center" vertical="center" shrinkToFit="1"/>
    </xf>
    <xf numFmtId="43" fontId="10" fillId="6" borderId="1" xfId="1" applyFont="1" applyFill="1" applyBorder="1" applyAlignment="1">
      <alignment horizontal="center" vertical="center" wrapText="1"/>
    </xf>
    <xf numFmtId="168" fontId="10" fillId="6" borderId="1" xfId="0" applyNumberFormat="1" applyFont="1" applyFill="1" applyBorder="1" applyAlignment="1">
      <alignment horizontal="center" vertical="center" wrapText="1"/>
    </xf>
    <xf numFmtId="43" fontId="26" fillId="0" borderId="1" xfId="1" applyFont="1" applyBorder="1" applyAlignment="1">
      <alignment horizontal="center" vertical="center"/>
    </xf>
    <xf numFmtId="168" fontId="10" fillId="6" borderId="1" xfId="1" applyNumberFormat="1" applyFont="1" applyFill="1" applyBorder="1" applyAlignment="1">
      <alignment horizontal="center" vertical="center" wrapText="1"/>
    </xf>
    <xf numFmtId="10" fontId="10" fillId="6" borderId="1" xfId="2" applyNumberFormat="1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168" fontId="10" fillId="6" borderId="1" xfId="0" applyNumberFormat="1" applyFont="1" applyFill="1" applyBorder="1" applyAlignment="1">
      <alignment horizontal="right" vertical="center" wrapText="1"/>
    </xf>
    <xf numFmtId="168" fontId="24" fillId="6" borderId="1" xfId="0" applyNumberFormat="1" applyFont="1" applyFill="1" applyBorder="1" applyAlignment="1">
      <alignment horizontal="right" vertical="center" wrapText="1"/>
    </xf>
    <xf numFmtId="43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13" borderId="1" xfId="0" applyFont="1" applyFill="1" applyBorder="1" applyAlignment="1">
      <alignment vertical="center"/>
    </xf>
    <xf numFmtId="0" fontId="24" fillId="13" borderId="2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168" fontId="24" fillId="13" borderId="1" xfId="1" applyNumberFormat="1" applyFont="1" applyFill="1" applyBorder="1" applyAlignment="1">
      <alignment vertical="center"/>
    </xf>
    <xf numFmtId="168" fontId="24" fillId="13" borderId="1" xfId="0" applyNumberFormat="1" applyFont="1" applyFill="1" applyBorder="1" applyAlignment="1">
      <alignment horizontal="center" vertical="center"/>
    </xf>
    <xf numFmtId="10" fontId="24" fillId="13" borderId="1" xfId="2" applyNumberFormat="1" applyFont="1" applyFill="1" applyBorder="1" applyAlignment="1">
      <alignment horizontal="center" vertical="center" wrapText="1"/>
    </xf>
    <xf numFmtId="43" fontId="10" fillId="13" borderId="1" xfId="0" applyNumberFormat="1" applyFont="1" applyFill="1" applyBorder="1" applyAlignment="1">
      <alignment vertical="center"/>
    </xf>
    <xf numFmtId="168" fontId="24" fillId="13" borderId="1" xfId="0" applyNumberFormat="1" applyFont="1" applyFill="1" applyBorder="1" applyAlignment="1">
      <alignment horizontal="right" vertical="center"/>
    </xf>
    <xf numFmtId="43" fontId="24" fillId="13" borderId="1" xfId="1" applyFont="1" applyFill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20" borderId="2" xfId="0" applyFont="1" applyFill="1" applyBorder="1" applyAlignment="1">
      <alignment wrapText="1"/>
    </xf>
    <xf numFmtId="0" fontId="14" fillId="20" borderId="2" xfId="0" applyFont="1" applyFill="1" applyBorder="1" applyAlignment="1">
      <alignment horizontal="center" wrapText="1"/>
    </xf>
    <xf numFmtId="43" fontId="11" fillId="0" borderId="0" xfId="1" applyFont="1" applyAlignment="1">
      <alignment vertical="center"/>
    </xf>
    <xf numFmtId="0" fontId="2" fillId="8" borderId="1" xfId="0" applyFont="1" applyFill="1" applyBorder="1"/>
    <xf numFmtId="0" fontId="2" fillId="11" borderId="1" xfId="0" applyFont="1" applyFill="1" applyBorder="1"/>
    <xf numFmtId="0" fontId="2" fillId="9" borderId="1" xfId="0" applyFont="1" applyFill="1" applyBorder="1"/>
    <xf numFmtId="0" fontId="2" fillId="0" borderId="0" xfId="0" applyFont="1"/>
    <xf numFmtId="0" fontId="2" fillId="12" borderId="1" xfId="0" applyFont="1" applyFill="1" applyBorder="1"/>
    <xf numFmtId="0" fontId="2" fillId="0" borderId="1" xfId="0" applyFont="1" applyBorder="1"/>
    <xf numFmtId="0" fontId="2" fillId="15" borderId="1" xfId="0" applyFont="1" applyFill="1" applyBorder="1"/>
    <xf numFmtId="0" fontId="2" fillId="16" borderId="1" xfId="0" applyFont="1" applyFill="1" applyBorder="1"/>
    <xf numFmtId="0" fontId="1" fillId="0" borderId="0" xfId="0" applyFont="1"/>
    <xf numFmtId="0" fontId="1" fillId="0" borderId="1" xfId="0" applyFont="1" applyBorder="1"/>
    <xf numFmtId="0" fontId="5" fillId="25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/>
    </xf>
    <xf numFmtId="10" fontId="22" fillId="6" borderId="1" xfId="2" applyNumberFormat="1" applyFont="1" applyFill="1" applyBorder="1" applyAlignment="1">
      <alignment vertical="center"/>
    </xf>
    <xf numFmtId="10" fontId="29" fillId="21" borderId="1" xfId="2" applyNumberFormat="1" applyFont="1" applyFill="1" applyBorder="1" applyAlignment="1">
      <alignment vertical="center"/>
    </xf>
    <xf numFmtId="0" fontId="22" fillId="21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/>
    </xf>
    <xf numFmtId="0" fontId="25" fillId="0" borderId="7" xfId="7" applyFont="1" applyBorder="1" applyAlignment="1">
      <alignment vertical="top"/>
    </xf>
    <xf numFmtId="0" fontId="30" fillId="21" borderId="1" xfId="2" applyNumberFormat="1" applyFont="1" applyFill="1" applyBorder="1" applyAlignment="1">
      <alignment horizontal="right" vertical="center"/>
    </xf>
    <xf numFmtId="43" fontId="22" fillId="6" borderId="1" xfId="2" applyNumberFormat="1" applyFont="1" applyFill="1" applyBorder="1" applyAlignment="1">
      <alignment horizontal="right" vertical="center"/>
    </xf>
    <xf numFmtId="0" fontId="21" fillId="6" borderId="1" xfId="0" applyFont="1" applyFill="1" applyBorder="1" applyAlignment="1">
      <alignment horizontal="left" vertical="center"/>
    </xf>
    <xf numFmtId="0" fontId="27" fillId="12" borderId="2" xfId="0" applyFont="1" applyFill="1" applyBorder="1" applyAlignment="1">
      <alignment horizontal="left" vertical="center"/>
    </xf>
    <xf numFmtId="0" fontId="27" fillId="12" borderId="3" xfId="0" applyFont="1" applyFill="1" applyBorder="1" applyAlignment="1">
      <alignment horizontal="left" vertical="center"/>
    </xf>
    <xf numFmtId="0" fontId="27" fillId="12" borderId="5" xfId="0" applyFont="1" applyFill="1" applyBorder="1" applyAlignment="1">
      <alignment horizontal="left" vertical="center"/>
    </xf>
    <xf numFmtId="0" fontId="23" fillId="20" borderId="2" xfId="0" applyFont="1" applyFill="1" applyBorder="1" applyAlignment="1">
      <alignment horizontal="center" vertical="center"/>
    </xf>
    <xf numFmtId="0" fontId="23" fillId="20" borderId="5" xfId="0" applyFont="1" applyFill="1" applyBorder="1" applyAlignment="1">
      <alignment horizontal="center" vertical="center"/>
    </xf>
    <xf numFmtId="0" fontId="28" fillId="24" borderId="8" xfId="5" applyFont="1" applyFill="1" applyBorder="1" applyAlignment="1">
      <alignment horizontal="center"/>
    </xf>
    <xf numFmtId="0" fontId="28" fillId="24" borderId="9" xfId="5" applyFont="1" applyFill="1" applyBorder="1" applyAlignment="1">
      <alignment horizontal="center"/>
    </xf>
    <xf numFmtId="0" fontId="28" fillId="24" borderId="10" xfId="5" applyFont="1" applyFill="1" applyBorder="1" applyAlignment="1">
      <alignment horizontal="center"/>
    </xf>
    <xf numFmtId="0" fontId="15" fillId="19" borderId="2" xfId="5" applyFont="1" applyFill="1" applyBorder="1" applyAlignment="1">
      <alignment horizontal="center"/>
    </xf>
    <xf numFmtId="0" fontId="15" fillId="19" borderId="3" xfId="5" applyFont="1" applyFill="1" applyBorder="1" applyAlignment="1">
      <alignment horizontal="center"/>
    </xf>
    <xf numFmtId="0" fontId="15" fillId="19" borderId="12" xfId="5" applyFont="1" applyFill="1" applyBorder="1" applyAlignment="1">
      <alignment horizontal="center"/>
    </xf>
    <xf numFmtId="0" fontId="14" fillId="23" borderId="15" xfId="5" applyFont="1" applyFill="1" applyBorder="1" applyAlignment="1">
      <alignment horizontal="center"/>
    </xf>
    <xf numFmtId="0" fontId="14" fillId="23" borderId="5" xfId="5" applyFont="1" applyFill="1" applyBorder="1" applyAlignment="1">
      <alignment horizontal="center"/>
    </xf>
    <xf numFmtId="0" fontId="14" fillId="23" borderId="3" xfId="5" applyFont="1" applyFill="1" applyBorder="1" applyAlignment="1">
      <alignment horizontal="center"/>
    </xf>
    <xf numFmtId="0" fontId="14" fillId="23" borderId="16" xfId="5" applyFont="1" applyFill="1" applyBorder="1" applyAlignment="1">
      <alignment horizontal="center"/>
    </xf>
    <xf numFmtId="0" fontId="14" fillId="23" borderId="17" xfId="5" applyFont="1" applyFill="1" applyBorder="1" applyAlignment="1">
      <alignment horizontal="center"/>
    </xf>
    <xf numFmtId="0" fontId="12" fillId="22" borderId="11" xfId="0" applyFont="1" applyFill="1" applyBorder="1" applyAlignment="1">
      <alignment horizontal="center" vertical="center"/>
    </xf>
    <xf numFmtId="0" fontId="12" fillId="22" borderId="11" xfId="0" applyFont="1" applyFill="1" applyBorder="1" applyAlignment="1">
      <alignment horizontal="center" vertical="center" wrapText="1"/>
    </xf>
    <xf numFmtId="0" fontId="15" fillId="18" borderId="1" xfId="5" applyFont="1" applyFill="1" applyBorder="1" applyAlignment="1">
      <alignment horizontal="center"/>
    </xf>
    <xf numFmtId="0" fontId="15" fillId="18" borderId="2" xfId="5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</cellXfs>
  <cellStyles count="17">
    <cellStyle name="Comma" xfId="1" builtinId="3"/>
    <cellStyle name="Comma 2" xfId="8" xr:uid="{48F2776D-F0E4-4FBD-89CE-AFF06C4F5C0D}"/>
    <cellStyle name="Comma 3" xfId="11" xr:uid="{652102C8-F4C0-491E-9E37-8C2A0E971CDF}"/>
    <cellStyle name="Comma 3 3" xfId="15" xr:uid="{FE8D95C8-C706-423C-AA3E-FE719B58E075}"/>
    <cellStyle name="Excel Built-in Normal" xfId="5" xr:uid="{00000000-0005-0000-0000-000033000000}"/>
    <cellStyle name="Normal" xfId="0" builtinId="0"/>
    <cellStyle name="Normal 2" xfId="4" xr:uid="{00000000-0005-0000-0000-000021000000}"/>
    <cellStyle name="Normal 2 14" xfId="3" xr:uid="{00000000-0005-0000-0000-000015000000}"/>
    <cellStyle name="Normal 3" xfId="6" xr:uid="{2184D395-B8A4-4735-B0F9-87FDB7812577}"/>
    <cellStyle name="Normal 3 2" xfId="10" xr:uid="{2F7A7E4E-6D61-4B9F-AE79-5192EF401AAA}"/>
    <cellStyle name="Normal 3 5" xfId="14" xr:uid="{1D30C51C-4772-4659-9968-E52F29E90258}"/>
    <cellStyle name="Normal 4" xfId="7" xr:uid="{272BBB29-B947-463D-BFC5-414B31216246}"/>
    <cellStyle name="Normal 4 2" xfId="9" xr:uid="{A44D3E14-54D0-4FD1-A570-04CE999C86AF}"/>
    <cellStyle name="Normal 5" xfId="12" xr:uid="{6C52C30B-ACE2-4970-9721-00E08E6826F2}"/>
    <cellStyle name="Percent" xfId="2" builtinId="5"/>
    <cellStyle name="Percent 2" xfId="13" xr:uid="{E19FFF37-1A96-424A-8ADB-57AFE13E5B75}"/>
    <cellStyle name="Percent 2 5" xfId="16" xr:uid="{E6FF5D2A-90CF-4D86-BE90-89F7E8290D1E}"/>
  </cellStyles>
  <dxfs count="0"/>
  <tableStyles count="0" defaultTableStyle="TableStyleMedium2" defaultPivotStyle="PivotStyleLight16"/>
  <colors>
    <mruColors>
      <color rgb="FF0921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518160</xdr:colOff>
      <xdr:row>1</xdr:row>
      <xdr:rowOff>45720</xdr:rowOff>
    </xdr:from>
    <xdr:to>
      <xdr:col>4</xdr:col>
      <xdr:colOff>1508760</xdr:colOff>
      <xdr:row>1</xdr:row>
      <xdr:rowOff>426720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18CAF9A-37DB-CBB6-F520-3536284327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4480" y="220980"/>
          <a:ext cx="162306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49"/>
  <sheetViews>
    <sheetView showGridLines="0" tabSelected="1" zoomScaleNormal="100" workbookViewId="0">
      <selection activeCell="C8" sqref="C8:E8"/>
    </sheetView>
  </sheetViews>
  <sheetFormatPr defaultColWidth="9" defaultRowHeight="14.25"/>
  <cols>
    <col min="1" max="1" width="9.140625" style="13" bestFit="1" customWidth="1"/>
    <col min="2" max="2" width="39.28515625" style="10" customWidth="1"/>
    <col min="3" max="3" width="31.28515625" style="10" customWidth="1"/>
    <col min="4" max="4" width="9.28515625" style="11" customWidth="1"/>
    <col min="5" max="5" width="24" style="10" customWidth="1"/>
    <col min="6" max="6" width="14.42578125" style="12" customWidth="1"/>
    <col min="7" max="7" width="22.5703125" style="13" customWidth="1"/>
    <col min="8" max="8" width="16.85546875" style="13" bestFit="1" customWidth="1"/>
    <col min="9" max="9" width="17.85546875" style="13" bestFit="1" customWidth="1"/>
    <col min="10" max="10" width="15.42578125" style="13" bestFit="1" customWidth="1"/>
    <col min="11" max="11" width="8.42578125" style="13" bestFit="1" customWidth="1"/>
    <col min="12" max="12" width="10.42578125" style="13" bestFit="1" customWidth="1"/>
    <col min="13" max="13" width="11.42578125" style="10" bestFit="1" customWidth="1"/>
    <col min="14" max="14" width="10.42578125" style="13" bestFit="1" customWidth="1"/>
    <col min="15" max="15" width="13.140625" style="13" bestFit="1" customWidth="1"/>
    <col min="16" max="16" width="12.140625" style="13" bestFit="1" customWidth="1"/>
    <col min="17" max="17" width="18" style="13" bestFit="1" customWidth="1"/>
    <col min="18" max="18" width="18" style="13" customWidth="1"/>
    <col min="19" max="19" width="28.85546875" style="13" bestFit="1" customWidth="1"/>
    <col min="20" max="20" width="11.42578125" style="13" bestFit="1" customWidth="1"/>
    <col min="21" max="23" width="14.140625" style="13" customWidth="1"/>
    <col min="24" max="25" width="9" style="13"/>
    <col min="26" max="26" width="28.42578125" style="13" bestFit="1" customWidth="1"/>
    <col min="27" max="16384" width="9" style="13"/>
  </cols>
  <sheetData>
    <row r="2" spans="2:10" ht="37.9" customHeight="1">
      <c r="B2" s="143" t="s">
        <v>0</v>
      </c>
      <c r="C2" s="144"/>
      <c r="D2" s="144"/>
      <c r="E2" s="145"/>
    </row>
    <row r="3" spans="2:10" ht="20.25">
      <c r="B3" s="77" t="s">
        <v>1</v>
      </c>
      <c r="C3" s="142" t="s">
        <v>182</v>
      </c>
      <c r="D3" s="142"/>
      <c r="E3" s="142"/>
    </row>
    <row r="4" spans="2:10" ht="22.5" customHeight="1">
      <c r="B4" s="77" t="s">
        <v>2</v>
      </c>
      <c r="C4" s="142" t="s">
        <v>180</v>
      </c>
      <c r="D4" s="142"/>
      <c r="E4" s="142"/>
      <c r="G4" s="133" t="s">
        <v>3</v>
      </c>
      <c r="H4" s="119" t="s">
        <v>40</v>
      </c>
      <c r="I4" s="119" t="s">
        <v>4</v>
      </c>
      <c r="J4" s="119" t="s">
        <v>5</v>
      </c>
    </row>
    <row r="5" spans="2:10" ht="22.15" customHeight="1">
      <c r="B5" s="77" t="s">
        <v>6</v>
      </c>
      <c r="C5" s="142" t="s">
        <v>181</v>
      </c>
      <c r="D5" s="142"/>
      <c r="E5" s="142"/>
      <c r="G5" s="138" t="s">
        <v>176</v>
      </c>
      <c r="H5" s="118">
        <v>0.15</v>
      </c>
      <c r="I5" s="118">
        <v>0.4</v>
      </c>
      <c r="J5" s="118">
        <v>0.35</v>
      </c>
    </row>
    <row r="6" spans="2:10" ht="20.25">
      <c r="B6" s="77" t="s">
        <v>7</v>
      </c>
      <c r="C6" s="142" t="s">
        <v>183</v>
      </c>
      <c r="D6" s="142"/>
      <c r="E6" s="142"/>
    </row>
    <row r="7" spans="2:10" ht="20.25">
      <c r="B7" s="77" t="s">
        <v>178</v>
      </c>
      <c r="C7" s="142" t="s">
        <v>189</v>
      </c>
      <c r="D7" s="142"/>
      <c r="E7" s="142"/>
      <c r="H7" s="122"/>
      <c r="I7" s="122"/>
      <c r="J7" s="122"/>
    </row>
    <row r="8" spans="2:10" ht="20.25">
      <c r="B8" s="77" t="s">
        <v>179</v>
      </c>
      <c r="C8" s="142" t="s">
        <v>189</v>
      </c>
      <c r="D8" s="142"/>
      <c r="E8" s="142"/>
      <c r="H8" s="122"/>
      <c r="I8" s="122"/>
      <c r="J8" s="122"/>
    </row>
    <row r="9" spans="2:10" ht="20.25">
      <c r="B9" s="77" t="s">
        <v>8</v>
      </c>
      <c r="C9" s="85" t="s">
        <v>184</v>
      </c>
      <c r="D9" s="86"/>
      <c r="E9" s="87"/>
      <c r="G9"/>
      <c r="J9" s="22"/>
    </row>
    <row r="10" spans="2:10" ht="20.25">
      <c r="B10" s="77" t="s">
        <v>9</v>
      </c>
      <c r="C10" s="142" t="s">
        <v>185</v>
      </c>
      <c r="D10" s="142"/>
      <c r="E10" s="142"/>
      <c r="G10"/>
    </row>
    <row r="11" spans="2:10" ht="18">
      <c r="D11" s="64"/>
    </row>
    <row r="12" spans="2:10" ht="23.25">
      <c r="B12" s="146" t="s">
        <v>10</v>
      </c>
      <c r="C12" s="147"/>
      <c r="D12" s="13"/>
      <c r="E12" s="13"/>
      <c r="F12" s="13"/>
    </row>
    <row r="13" spans="2:10" ht="18.75">
      <c r="B13" s="82" t="s">
        <v>11</v>
      </c>
      <c r="C13" s="83">
        <f>F29</f>
        <v>36000</v>
      </c>
      <c r="D13" s="13"/>
      <c r="E13" s="13"/>
      <c r="F13" s="78"/>
      <c r="G13" s="79"/>
    </row>
    <row r="14" spans="2:10" ht="18.75">
      <c r="B14" s="82" t="s">
        <v>12</v>
      </c>
      <c r="C14" s="83">
        <f>H29</f>
        <v>48000</v>
      </c>
      <c r="D14" s="13"/>
      <c r="E14" s="13"/>
      <c r="F14" s="78"/>
      <c r="G14" s="79"/>
    </row>
    <row r="15" spans="2:10" ht="18.75">
      <c r="B15" s="82" t="s">
        <v>13</v>
      </c>
      <c r="C15" s="83">
        <f>L29</f>
        <v>8640</v>
      </c>
      <c r="D15" s="13"/>
      <c r="E15" s="13"/>
      <c r="F15" s="78"/>
      <c r="G15" s="79"/>
    </row>
    <row r="16" spans="2:10" ht="18.75">
      <c r="B16" s="82" t="s">
        <v>14</v>
      </c>
      <c r="C16" s="83">
        <f>SUM(C14:C15)</f>
        <v>56640</v>
      </c>
      <c r="D16" s="13"/>
      <c r="E16" s="13"/>
      <c r="F16" s="78"/>
      <c r="G16" s="79"/>
    </row>
    <row r="17" spans="1:26" ht="18.75">
      <c r="B17" s="82" t="s">
        <v>175</v>
      </c>
      <c r="C17" s="83"/>
      <c r="D17" s="13"/>
      <c r="E17" s="13"/>
      <c r="F17" s="78"/>
      <c r="G17" s="79"/>
    </row>
    <row r="18" spans="1:26" ht="18.75">
      <c r="B18" s="82" t="s">
        <v>15</v>
      </c>
      <c r="C18" s="83">
        <f>'Workforce Budget'!J17</f>
        <v>1022.7275</v>
      </c>
      <c r="D18" s="13"/>
      <c r="E18" s="13"/>
      <c r="F18" s="78"/>
      <c r="G18" s="79"/>
    </row>
    <row r="19" spans="1:26" ht="18.75">
      <c r="B19" s="82" t="s">
        <v>16</v>
      </c>
      <c r="C19" s="83"/>
      <c r="D19" s="13"/>
      <c r="E19" s="13"/>
      <c r="F19" s="78"/>
      <c r="G19" s="79"/>
    </row>
    <row r="20" spans="1:26" ht="20.25">
      <c r="B20" s="77" t="s">
        <v>17</v>
      </c>
      <c r="C20" s="84">
        <f>C14-C13-C17-C19-C18</f>
        <v>10977.272499999999</v>
      </c>
      <c r="D20" s="13"/>
      <c r="E20" s="13"/>
      <c r="F20" s="78"/>
      <c r="G20" s="79"/>
    </row>
    <row r="21" spans="1:26" ht="20.25">
      <c r="B21" s="80" t="s">
        <v>18</v>
      </c>
      <c r="C21" s="81">
        <f>C20/C14</f>
        <v>0.22869317708333331</v>
      </c>
      <c r="D21" s="13"/>
      <c r="E21" s="13"/>
      <c r="F21" s="78"/>
      <c r="G21" s="79"/>
    </row>
    <row r="22" spans="1:26" ht="20.25">
      <c r="B22" s="134" t="s">
        <v>3</v>
      </c>
      <c r="C22" s="141" t="str">
        <f>Q28</f>
        <v>SITC/AMC/Product</v>
      </c>
      <c r="D22" s="13"/>
      <c r="E22" s="13"/>
      <c r="F22" s="78"/>
      <c r="G22" s="79"/>
    </row>
    <row r="23" spans="1:26" ht="20.25">
      <c r="B23" s="134" t="s">
        <v>172</v>
      </c>
      <c r="C23" s="135">
        <f>_xlfn.XLOOKUP(C22,H4:J4,H5:J5,0)</f>
        <v>0.15</v>
      </c>
      <c r="D23" s="13"/>
      <c r="E23" s="13"/>
      <c r="F23" s="78"/>
      <c r="G23" s="79"/>
    </row>
    <row r="24" spans="1:26" ht="20.25">
      <c r="B24" s="80" t="s">
        <v>173</v>
      </c>
      <c r="C24" s="136">
        <f>C21-C23</f>
        <v>7.8693177083333316E-2</v>
      </c>
      <c r="D24" s="13"/>
      <c r="E24" s="13"/>
      <c r="F24" s="78"/>
      <c r="G24" s="79"/>
    </row>
    <row r="25" spans="1:26" ht="43.9" customHeight="1">
      <c r="B25" s="137" t="s">
        <v>174</v>
      </c>
      <c r="C25" s="140" t="s">
        <v>185</v>
      </c>
      <c r="D25" s="13"/>
      <c r="E25" s="13"/>
      <c r="F25" s="78"/>
      <c r="G25" s="79"/>
    </row>
    <row r="26" spans="1:26" s="114" customFormat="1" ht="15.75" thickBot="1">
      <c r="B26" s="115"/>
      <c r="D26" s="116"/>
      <c r="E26" s="115"/>
      <c r="H26" s="117"/>
      <c r="M26" s="115"/>
    </row>
    <row r="27" spans="1:26" s="10" customFormat="1" ht="32.25" thickTop="1">
      <c r="A27" s="88" t="s">
        <v>19</v>
      </c>
      <c r="B27" s="88" t="s">
        <v>20</v>
      </c>
      <c r="C27" s="88" t="s">
        <v>21</v>
      </c>
      <c r="D27" s="89" t="s">
        <v>22</v>
      </c>
      <c r="E27" s="90" t="s">
        <v>23</v>
      </c>
      <c r="F27" s="89" t="s">
        <v>24</v>
      </c>
      <c r="G27" s="89" t="s">
        <v>25</v>
      </c>
      <c r="H27" s="89" t="s">
        <v>26</v>
      </c>
      <c r="I27" s="89" t="s">
        <v>27</v>
      </c>
      <c r="J27" s="89" t="s">
        <v>28</v>
      </c>
      <c r="K27" s="89" t="s">
        <v>29</v>
      </c>
      <c r="L27" s="89" t="s">
        <v>30</v>
      </c>
      <c r="M27" s="89" t="s">
        <v>31</v>
      </c>
      <c r="N27" s="89" t="s">
        <v>32</v>
      </c>
      <c r="O27" s="88" t="s">
        <v>33</v>
      </c>
      <c r="P27" s="89" t="s">
        <v>34</v>
      </c>
      <c r="Q27" s="88" t="s">
        <v>3</v>
      </c>
      <c r="R27" s="88" t="s">
        <v>35</v>
      </c>
      <c r="S27" s="88" t="s">
        <v>36</v>
      </c>
    </row>
    <row r="28" spans="1:26" s="10" customFormat="1" ht="15.75">
      <c r="A28" s="91">
        <v>1</v>
      </c>
      <c r="B28" s="91" t="s">
        <v>186</v>
      </c>
      <c r="C28" s="139" t="s">
        <v>187</v>
      </c>
      <c r="D28" s="92">
        <v>2</v>
      </c>
      <c r="E28" s="93">
        <v>18000</v>
      </c>
      <c r="F28" s="94">
        <f>D28*E28</f>
        <v>36000</v>
      </c>
      <c r="G28" s="95">
        <v>24000</v>
      </c>
      <c r="H28" s="96">
        <f>G28*D28</f>
        <v>48000</v>
      </c>
      <c r="I28" s="94">
        <f>H28-F28</f>
        <v>12000</v>
      </c>
      <c r="J28" s="97">
        <f>I28/H28</f>
        <v>0.25</v>
      </c>
      <c r="K28" s="98">
        <v>0.18</v>
      </c>
      <c r="L28" s="99">
        <f t="shared" ref="L28" si="0">H28*K28</f>
        <v>8640</v>
      </c>
      <c r="M28" s="100">
        <f t="shared" ref="M28" si="1">L28+H28</f>
        <v>56640</v>
      </c>
      <c r="N28" s="101" t="s">
        <v>91</v>
      </c>
      <c r="O28" s="101" t="s">
        <v>133</v>
      </c>
      <c r="P28" s="102" t="s">
        <v>168</v>
      </c>
      <c r="Q28" s="101" t="s">
        <v>40</v>
      </c>
      <c r="R28" s="57" t="s">
        <v>188</v>
      </c>
      <c r="S28" s="56" t="s">
        <v>139</v>
      </c>
    </row>
    <row r="29" spans="1:26" ht="15.75">
      <c r="A29" s="103"/>
      <c r="B29" s="104" t="s">
        <v>42</v>
      </c>
      <c r="C29" s="105"/>
      <c r="D29" s="106"/>
      <c r="E29" s="107"/>
      <c r="F29" s="108">
        <f>SUM(F28:F28)</f>
        <v>36000</v>
      </c>
      <c r="G29" s="108"/>
      <c r="H29" s="108">
        <f>SUM(H28:H28)</f>
        <v>48000</v>
      </c>
      <c r="I29" s="109">
        <f>(H29-F29)</f>
        <v>12000</v>
      </c>
      <c r="J29" s="110">
        <f t="shared" ref="J29" si="2">I29/H29</f>
        <v>0.25</v>
      </c>
      <c r="K29" s="111"/>
      <c r="L29" s="112">
        <f>SUM(L28:L28)</f>
        <v>8640</v>
      </c>
      <c r="M29" s="112">
        <f>SUM(M28:M28)</f>
        <v>56640</v>
      </c>
      <c r="N29" s="113"/>
      <c r="O29" s="113"/>
      <c r="P29" s="113"/>
      <c r="Q29" s="113"/>
      <c r="R29" s="113"/>
      <c r="S29" s="113"/>
      <c r="Z29" s="11"/>
    </row>
    <row r="30" spans="1:26">
      <c r="H30" s="14"/>
      <c r="Z30" s="11"/>
    </row>
    <row r="32" spans="1:26">
      <c r="D32" s="13"/>
      <c r="E32" s="13"/>
      <c r="G32" s="15"/>
      <c r="H32" s="16"/>
      <c r="I32" s="17"/>
      <c r="J32" s="18"/>
      <c r="K32" s="19"/>
    </row>
    <row r="33" spans="4:12">
      <c r="D33" s="13"/>
      <c r="E33" s="13"/>
      <c r="F33" s="15"/>
      <c r="G33" s="16"/>
      <c r="H33" s="15"/>
      <c r="I33" s="18"/>
      <c r="J33" s="19"/>
      <c r="L33" s="10"/>
    </row>
    <row r="34" spans="4:12">
      <c r="D34" s="13"/>
      <c r="E34" s="13"/>
      <c r="F34" s="20"/>
      <c r="G34" s="20"/>
      <c r="H34" s="20"/>
      <c r="L34" s="10"/>
    </row>
    <row r="35" spans="4:12">
      <c r="D35" s="13"/>
      <c r="E35" s="13"/>
      <c r="F35" s="13"/>
      <c r="G35" s="20"/>
      <c r="L35" s="10"/>
    </row>
    <row r="36" spans="4:12">
      <c r="D36" s="13"/>
      <c r="E36" s="13"/>
      <c r="F36" s="13"/>
      <c r="L36" s="10"/>
    </row>
    <row r="37" spans="4:12">
      <c r="D37" s="13"/>
      <c r="E37" s="13"/>
      <c r="F37" s="20"/>
      <c r="G37" s="21"/>
      <c r="K37" s="22"/>
      <c r="L37" s="10"/>
    </row>
    <row r="38" spans="4:12">
      <c r="D38" s="13"/>
      <c r="E38" s="13"/>
      <c r="F38" s="20"/>
      <c r="K38" s="22"/>
      <c r="L38" s="10"/>
    </row>
    <row r="39" spans="4:12">
      <c r="D39" s="13"/>
      <c r="E39" s="13"/>
      <c r="F39" s="13"/>
      <c r="L39" s="10"/>
    </row>
    <row r="40" spans="4:12">
      <c r="D40" s="13"/>
      <c r="E40" s="13"/>
      <c r="F40" s="13"/>
      <c r="L40" s="10"/>
    </row>
    <row r="41" spans="4:12">
      <c r="D41" s="13"/>
      <c r="E41" s="13"/>
      <c r="F41" s="13"/>
      <c r="L41" s="10"/>
    </row>
    <row r="45" spans="4:12">
      <c r="I45" s="20"/>
    </row>
    <row r="46" spans="4:12">
      <c r="I46" s="20"/>
    </row>
    <row r="47" spans="4:12">
      <c r="G47" s="14"/>
      <c r="I47" s="14"/>
      <c r="J47" s="14"/>
    </row>
    <row r="48" spans="4:12">
      <c r="G48" s="14"/>
      <c r="I48" s="14"/>
      <c r="J48" s="14"/>
    </row>
    <row r="49" spans="7:7">
      <c r="G49" s="14"/>
    </row>
  </sheetData>
  <mergeCells count="9">
    <mergeCell ref="C10:E10"/>
    <mergeCell ref="B2:E2"/>
    <mergeCell ref="B12:C12"/>
    <mergeCell ref="C3:E3"/>
    <mergeCell ref="C4:E4"/>
    <mergeCell ref="C5:E5"/>
    <mergeCell ref="C6:E6"/>
    <mergeCell ref="C7:E7"/>
    <mergeCell ref="C8:E8"/>
  </mergeCells>
  <dataValidations count="1">
    <dataValidation type="list" allowBlank="1" showInputMessage="1" showErrorMessage="1" sqref="N29:S29 Z29:Z30" xr:uid="{D90EFD1A-22B5-43AA-BCD9-DB5408EBB545}">
      <formula1>$Z$29:$Z$32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F69A541-559A-4BB6-8A24-EACD35B1505E}">
          <x14:formula1>
            <xm:f>Practices!$G$2:$G$4</xm:f>
          </x14:formula1>
          <xm:sqref>N28</xm:sqref>
        </x14:dataValidation>
        <x14:dataValidation type="list" allowBlank="1" showInputMessage="1" showErrorMessage="1" xr:uid="{FE71D2CE-80D0-488B-B20B-EA05E02FC65B}">
          <x14:formula1>
            <xm:f>Practices!$L$2:$L$27</xm:f>
          </x14:formula1>
          <xm:sqref>S28</xm:sqref>
        </x14:dataValidation>
        <x14:dataValidation type="list" allowBlank="1" showInputMessage="1" showErrorMessage="1" xr:uid="{2306F0A6-012F-48F8-82CC-0E581717A17B}">
          <x14:formula1>
            <xm:f>Practices!$A$15:$A$24</xm:f>
          </x14:formula1>
          <xm:sqref>O28</xm:sqref>
        </x14:dataValidation>
        <x14:dataValidation type="list" allowBlank="1" showInputMessage="1" showErrorMessage="1" xr:uid="{44DE2867-D4B2-450E-9E07-9914E0971F1D}">
          <x14:formula1>
            <xm:f>Practices!$G$15:$G$18</xm:f>
          </x14:formula1>
          <xm:sqref>Q28</xm:sqref>
        </x14:dataValidation>
        <x14:dataValidation type="list" allowBlank="1" showInputMessage="1" showErrorMessage="1" xr:uid="{A9580E8A-551A-4F85-B276-76F44B959D05}">
          <x14:formula1>
            <xm:f>Practices!$J$15:$J$20</xm:f>
          </x14:formula1>
          <xm:sqref>P28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O40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4" sqref="J14"/>
    </sheetView>
  </sheetViews>
  <sheetFormatPr defaultColWidth="8.85546875" defaultRowHeight="14.25"/>
  <cols>
    <col min="1" max="1" width="2.42578125" style="23" customWidth="1"/>
    <col min="2" max="2" width="24" style="23" customWidth="1"/>
    <col min="3" max="3" width="30.85546875" style="23" customWidth="1"/>
    <col min="4" max="10" width="14" style="23" customWidth="1"/>
    <col min="11" max="11" width="15.140625" style="23" customWidth="1"/>
    <col min="12" max="15" width="14" style="23" customWidth="1"/>
    <col min="16" max="16" width="10" style="23" customWidth="1"/>
    <col min="17" max="16384" width="8.85546875" style="23"/>
  </cols>
  <sheetData>
    <row r="1" spans="2:15" ht="19.899999999999999" customHeight="1">
      <c r="G1" s="72" t="s">
        <v>43</v>
      </c>
    </row>
    <row r="2" spans="2:15" ht="18.600000000000001" customHeight="1">
      <c r="G2" s="73" t="s">
        <v>44</v>
      </c>
    </row>
    <row r="3" spans="2:15" ht="8.4499999999999993" customHeight="1" thickBot="1"/>
    <row r="4" spans="2:15" ht="18">
      <c r="B4" s="148" t="s">
        <v>45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50"/>
    </row>
    <row r="5" spans="2:15">
      <c r="B5" s="159" t="s">
        <v>46</v>
      </c>
      <c r="C5" s="161" t="s">
        <v>47</v>
      </c>
      <c r="D5" s="151" t="s">
        <v>48</v>
      </c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</row>
    <row r="6" spans="2:15">
      <c r="B6" s="159"/>
      <c r="C6" s="162"/>
      <c r="D6" s="66" t="s">
        <v>49</v>
      </c>
      <c r="E6" s="66" t="s">
        <v>50</v>
      </c>
      <c r="F6" s="66" t="s">
        <v>51</v>
      </c>
      <c r="G6" s="66" t="s">
        <v>52</v>
      </c>
      <c r="H6" s="66" t="s">
        <v>53</v>
      </c>
      <c r="I6" s="66" t="s">
        <v>54</v>
      </c>
      <c r="J6" s="67" t="s">
        <v>55</v>
      </c>
      <c r="K6" s="67" t="s">
        <v>56</v>
      </c>
      <c r="L6" s="68" t="s">
        <v>57</v>
      </c>
      <c r="M6" s="68" t="s">
        <v>58</v>
      </c>
      <c r="N6" s="68" t="s">
        <v>59</v>
      </c>
      <c r="O6" s="69" t="s">
        <v>60</v>
      </c>
    </row>
    <row r="7" spans="2:15">
      <c r="B7" s="159"/>
      <c r="C7" s="65" t="s">
        <v>61</v>
      </c>
      <c r="D7" s="24">
        <v>1500</v>
      </c>
      <c r="E7" s="25">
        <v>1750</v>
      </c>
      <c r="F7" s="25">
        <v>2727.27</v>
      </c>
      <c r="G7" s="25">
        <v>3636.36</v>
      </c>
      <c r="H7" s="25">
        <v>5454.55</v>
      </c>
      <c r="I7" s="26">
        <v>6818.18</v>
      </c>
      <c r="J7" s="26">
        <v>8181.82</v>
      </c>
      <c r="K7" s="25">
        <v>9545.4500000000007</v>
      </c>
      <c r="L7" s="25">
        <v>11363.64</v>
      </c>
      <c r="M7" s="25">
        <v>13636.36</v>
      </c>
      <c r="N7" s="25">
        <v>18181.82</v>
      </c>
      <c r="O7" s="43">
        <v>22727.27</v>
      </c>
    </row>
    <row r="8" spans="2:15">
      <c r="B8" s="159"/>
      <c r="C8" s="65" t="s">
        <v>62</v>
      </c>
      <c r="D8" s="24">
        <v>187.5</v>
      </c>
      <c r="E8" s="27">
        <v>218.75</v>
      </c>
      <c r="F8" s="27">
        <v>340.90875</v>
      </c>
      <c r="G8" s="27">
        <v>454.54500000000002</v>
      </c>
      <c r="H8" s="27">
        <v>681.81875000000002</v>
      </c>
      <c r="I8" s="27">
        <v>852.27250000000004</v>
      </c>
      <c r="J8" s="27">
        <v>1022.7275</v>
      </c>
      <c r="K8" s="27">
        <v>1193.1812500000001</v>
      </c>
      <c r="L8" s="27">
        <v>1420.4549999999999</v>
      </c>
      <c r="M8" s="27">
        <v>1704.5450000000001</v>
      </c>
      <c r="N8" s="27">
        <v>2272.7275</v>
      </c>
      <c r="O8" s="44">
        <v>2840.9087500000001</v>
      </c>
    </row>
    <row r="9" spans="2:15">
      <c r="B9" s="45"/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46"/>
    </row>
    <row r="10" spans="2:15">
      <c r="B10" s="160" t="s">
        <v>63</v>
      </c>
      <c r="C10" s="120" t="s">
        <v>64</v>
      </c>
      <c r="D10" s="31"/>
      <c r="E10" s="31"/>
      <c r="F10" s="31"/>
      <c r="G10" s="31"/>
      <c r="H10" s="31"/>
      <c r="I10" s="31"/>
      <c r="J10" s="31">
        <v>1</v>
      </c>
      <c r="K10" s="31"/>
      <c r="L10" s="31"/>
      <c r="M10" s="31"/>
      <c r="N10" s="31"/>
      <c r="O10" s="47"/>
    </row>
    <row r="11" spans="2:15">
      <c r="B11" s="160"/>
      <c r="C11" s="30" t="s">
        <v>65</v>
      </c>
      <c r="D11" s="32">
        <f>D10*D8</f>
        <v>0</v>
      </c>
      <c r="E11" s="32">
        <f t="shared" ref="E11:O11" si="0">E10*E8</f>
        <v>0</v>
      </c>
      <c r="F11" s="32">
        <f t="shared" si="0"/>
        <v>0</v>
      </c>
      <c r="G11" s="32">
        <f t="shared" si="0"/>
        <v>0</v>
      </c>
      <c r="H11" s="32">
        <f t="shared" si="0"/>
        <v>0</v>
      </c>
      <c r="I11" s="32">
        <f t="shared" si="0"/>
        <v>0</v>
      </c>
      <c r="J11" s="32">
        <f t="shared" si="0"/>
        <v>1022.7275</v>
      </c>
      <c r="K11" s="32">
        <f t="shared" si="0"/>
        <v>0</v>
      </c>
      <c r="L11" s="32">
        <f t="shared" si="0"/>
        <v>0</v>
      </c>
      <c r="M11" s="32">
        <f t="shared" si="0"/>
        <v>0</v>
      </c>
      <c r="N11" s="32">
        <f t="shared" si="0"/>
        <v>0</v>
      </c>
      <c r="O11" s="32">
        <f t="shared" si="0"/>
        <v>0</v>
      </c>
    </row>
    <row r="12" spans="2:15">
      <c r="B12" s="159"/>
      <c r="C12" s="30" t="s">
        <v>66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48"/>
    </row>
    <row r="13" spans="2:15">
      <c r="B13" s="159"/>
      <c r="C13" s="30" t="s">
        <v>67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49"/>
    </row>
    <row r="14" spans="2:15">
      <c r="B14" s="159"/>
      <c r="C14" s="30" t="s">
        <v>68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49"/>
    </row>
    <row r="15" spans="2:15">
      <c r="B15" s="159"/>
      <c r="C15" s="30" t="s">
        <v>6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49"/>
    </row>
    <row r="16" spans="2:15">
      <c r="B16" s="159"/>
      <c r="C16" s="30" t="s">
        <v>69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49"/>
    </row>
    <row r="17" spans="2:15">
      <c r="B17" s="154" t="s">
        <v>70</v>
      </c>
      <c r="C17" s="155"/>
      <c r="D17" s="34">
        <f t="shared" ref="D17:O17" si="1">SUM(D11:D16)</f>
        <v>0</v>
      </c>
      <c r="E17" s="34">
        <f t="shared" si="1"/>
        <v>0</v>
      </c>
      <c r="F17" s="34">
        <f t="shared" si="1"/>
        <v>0</v>
      </c>
      <c r="G17" s="34">
        <f t="shared" si="1"/>
        <v>0</v>
      </c>
      <c r="H17" s="34">
        <f t="shared" si="1"/>
        <v>0</v>
      </c>
      <c r="I17" s="34">
        <f t="shared" si="1"/>
        <v>0</v>
      </c>
      <c r="J17" s="34">
        <f t="shared" si="1"/>
        <v>1022.7275</v>
      </c>
      <c r="K17" s="34">
        <f t="shared" si="1"/>
        <v>0</v>
      </c>
      <c r="L17" s="34">
        <f t="shared" si="1"/>
        <v>0</v>
      </c>
      <c r="M17" s="34">
        <f t="shared" si="1"/>
        <v>0</v>
      </c>
      <c r="N17" s="34">
        <f t="shared" si="1"/>
        <v>0</v>
      </c>
      <c r="O17" s="49">
        <f t="shared" si="1"/>
        <v>0</v>
      </c>
    </row>
    <row r="18" spans="2:15">
      <c r="B18" s="154" t="s">
        <v>71</v>
      </c>
      <c r="C18" s="156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50">
        <f>SUM(D17:O17)</f>
        <v>1022.7275</v>
      </c>
    </row>
    <row r="19" spans="2:15">
      <c r="B19" s="160" t="s">
        <v>72</v>
      </c>
      <c r="C19" s="30" t="s">
        <v>73</v>
      </c>
      <c r="D19" s="37"/>
      <c r="E19" s="31"/>
      <c r="F19" s="31"/>
      <c r="G19" s="31"/>
      <c r="H19" s="31"/>
      <c r="I19" s="38"/>
      <c r="J19" s="38"/>
      <c r="K19" s="31"/>
      <c r="L19" s="31"/>
      <c r="M19" s="31"/>
      <c r="N19" s="31"/>
      <c r="O19" s="47"/>
    </row>
    <row r="20" spans="2:15">
      <c r="B20" s="160"/>
      <c r="C20" s="30" t="s">
        <v>74</v>
      </c>
      <c r="D20" s="37"/>
      <c r="E20" s="31"/>
      <c r="F20" s="31"/>
      <c r="G20" s="31"/>
      <c r="H20" s="31"/>
      <c r="I20" s="38"/>
      <c r="J20" s="38"/>
      <c r="K20" s="31"/>
      <c r="L20" s="31"/>
      <c r="M20" s="31"/>
      <c r="N20" s="31"/>
      <c r="O20" s="47"/>
    </row>
    <row r="21" spans="2:15">
      <c r="B21" s="160"/>
      <c r="C21" s="30" t="s">
        <v>75</v>
      </c>
      <c r="D21" s="37"/>
      <c r="E21" s="31"/>
      <c r="F21" s="31"/>
      <c r="G21" s="31"/>
      <c r="H21" s="31"/>
      <c r="I21" s="38"/>
      <c r="J21" s="38"/>
      <c r="K21" s="31"/>
      <c r="L21" s="31"/>
      <c r="M21" s="31"/>
      <c r="N21" s="31"/>
      <c r="O21" s="47"/>
    </row>
    <row r="22" spans="2:15">
      <c r="B22" s="160"/>
      <c r="C22" s="30" t="s">
        <v>76</v>
      </c>
      <c r="D22" s="37"/>
      <c r="E22" s="31"/>
      <c r="F22" s="31"/>
      <c r="G22" s="31"/>
      <c r="H22" s="31"/>
      <c r="I22" s="38"/>
      <c r="J22" s="38"/>
      <c r="K22" s="31"/>
      <c r="L22" s="31"/>
      <c r="M22" s="31"/>
      <c r="N22" s="31"/>
      <c r="O22" s="47"/>
    </row>
    <row r="23" spans="2:15">
      <c r="B23" s="160"/>
      <c r="C23" s="121" t="s">
        <v>77</v>
      </c>
      <c r="D23" s="37">
        <f>SUM(D19:D22)</f>
        <v>0</v>
      </c>
      <c r="E23" s="37">
        <f t="shared" ref="E23:O23" si="2">SUM(E19:E22)</f>
        <v>0</v>
      </c>
      <c r="F23" s="37">
        <f t="shared" si="2"/>
        <v>0</v>
      </c>
      <c r="G23" s="37">
        <f t="shared" si="2"/>
        <v>0</v>
      </c>
      <c r="H23" s="37">
        <f t="shared" si="2"/>
        <v>0</v>
      </c>
      <c r="I23" s="37">
        <f t="shared" si="2"/>
        <v>0</v>
      </c>
      <c r="J23" s="37">
        <f t="shared" si="2"/>
        <v>0</v>
      </c>
      <c r="K23" s="37">
        <f t="shared" si="2"/>
        <v>0</v>
      </c>
      <c r="L23" s="37">
        <f t="shared" si="2"/>
        <v>0</v>
      </c>
      <c r="M23" s="37">
        <f t="shared" si="2"/>
        <v>0</v>
      </c>
      <c r="N23" s="37">
        <f t="shared" si="2"/>
        <v>0</v>
      </c>
      <c r="O23" s="51">
        <f t="shared" si="2"/>
        <v>0</v>
      </c>
    </row>
    <row r="24" spans="2:15" ht="28.5">
      <c r="B24" s="160"/>
      <c r="C24" s="70" t="s">
        <v>78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52"/>
    </row>
    <row r="25" spans="2:15">
      <c r="B25" s="160"/>
      <c r="C25" s="30" t="s">
        <v>66</v>
      </c>
      <c r="D25" s="24"/>
      <c r="E25" s="31"/>
      <c r="F25" s="31"/>
      <c r="G25" s="31"/>
      <c r="H25" s="31"/>
      <c r="I25" s="38"/>
      <c r="J25" s="38"/>
      <c r="K25" s="31"/>
      <c r="L25" s="31"/>
      <c r="M25" s="31"/>
      <c r="N25" s="31"/>
      <c r="O25" s="47"/>
    </row>
    <row r="26" spans="2:15">
      <c r="B26" s="160"/>
      <c r="C26" s="30" t="s">
        <v>67</v>
      </c>
      <c r="D26" s="24"/>
      <c r="E26" s="31"/>
      <c r="F26" s="31"/>
      <c r="G26" s="31"/>
      <c r="H26" s="31"/>
      <c r="I26" s="38"/>
      <c r="J26" s="38"/>
      <c r="K26" s="31"/>
      <c r="L26" s="31"/>
      <c r="M26" s="31"/>
      <c r="N26" s="31"/>
      <c r="O26" s="47"/>
    </row>
    <row r="27" spans="2:15">
      <c r="B27" s="160"/>
      <c r="C27" s="30" t="s">
        <v>68</v>
      </c>
      <c r="D27" s="24"/>
      <c r="E27" s="31"/>
      <c r="F27" s="31"/>
      <c r="G27" s="31"/>
      <c r="H27" s="31"/>
      <c r="I27" s="38"/>
      <c r="J27" s="38"/>
      <c r="K27" s="31"/>
      <c r="L27" s="31"/>
      <c r="M27" s="31"/>
      <c r="N27" s="31"/>
      <c r="O27" s="47"/>
    </row>
    <row r="28" spans="2:15">
      <c r="B28" s="160"/>
      <c r="C28" s="30" t="s">
        <v>6</v>
      </c>
      <c r="D28" s="31"/>
      <c r="E28" s="31"/>
      <c r="F28" s="31"/>
      <c r="G28" s="31"/>
      <c r="H28" s="31"/>
      <c r="I28" s="38"/>
      <c r="J28" s="38"/>
      <c r="K28" s="31"/>
      <c r="L28" s="31"/>
      <c r="M28" s="31"/>
      <c r="N28" s="31"/>
      <c r="O28" s="47"/>
    </row>
    <row r="29" spans="2:15">
      <c r="B29" s="160"/>
      <c r="C29" s="71" t="s">
        <v>69</v>
      </c>
      <c r="D29" s="39"/>
      <c r="E29" s="39"/>
      <c r="F29" s="39"/>
      <c r="G29" s="39"/>
      <c r="H29" s="39"/>
      <c r="I29" s="31"/>
      <c r="J29" s="31"/>
      <c r="K29" s="31"/>
      <c r="L29" s="31"/>
      <c r="M29" s="31"/>
      <c r="N29" s="31"/>
      <c r="O29" s="47"/>
    </row>
    <row r="30" spans="2:15" ht="15" customHeight="1">
      <c r="B30" s="154" t="s">
        <v>70</v>
      </c>
      <c r="C30" s="155"/>
      <c r="D30" s="34">
        <f>SUM(D24:D29)</f>
        <v>0</v>
      </c>
      <c r="E30" s="34">
        <f t="shared" ref="E30:O30" si="3">SUM(E24:E29)</f>
        <v>0</v>
      </c>
      <c r="F30" s="34">
        <f t="shared" si="3"/>
        <v>0</v>
      </c>
      <c r="G30" s="34">
        <f t="shared" si="3"/>
        <v>0</v>
      </c>
      <c r="H30" s="34">
        <f t="shared" si="3"/>
        <v>0</v>
      </c>
      <c r="I30" s="34">
        <f t="shared" si="3"/>
        <v>0</v>
      </c>
      <c r="J30" s="34">
        <f t="shared" si="3"/>
        <v>0</v>
      </c>
      <c r="K30" s="34">
        <f t="shared" si="3"/>
        <v>0</v>
      </c>
      <c r="L30" s="34">
        <f t="shared" si="3"/>
        <v>0</v>
      </c>
      <c r="M30" s="34">
        <f t="shared" si="3"/>
        <v>0</v>
      </c>
      <c r="N30" s="34">
        <f t="shared" si="3"/>
        <v>0</v>
      </c>
      <c r="O30" s="49">
        <f t="shared" si="3"/>
        <v>0</v>
      </c>
    </row>
    <row r="31" spans="2:15" ht="15" thickBot="1">
      <c r="B31" s="157" t="s">
        <v>71</v>
      </c>
      <c r="C31" s="158"/>
      <c r="D31" s="53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>
        <f>SUM(D30:O30)</f>
        <v>0</v>
      </c>
    </row>
    <row r="32" spans="2:15">
      <c r="G32" s="40"/>
      <c r="H32" s="40"/>
    </row>
    <row r="33" spans="2:8">
      <c r="C33" s="41"/>
      <c r="D33" s="41"/>
      <c r="G33" s="40"/>
      <c r="H33" s="40"/>
    </row>
    <row r="34" spans="2:8">
      <c r="C34" s="41"/>
      <c r="D34" s="41"/>
      <c r="G34" s="40"/>
      <c r="H34" s="40"/>
    </row>
    <row r="35" spans="2:8">
      <c r="B35" s="58" t="s">
        <v>79</v>
      </c>
      <c r="C35" s="41"/>
      <c r="D35" s="42"/>
      <c r="E35" s="42"/>
      <c r="G35" s="40"/>
      <c r="H35" s="40"/>
    </row>
    <row r="36" spans="2:8">
      <c r="B36" s="41" t="s">
        <v>21</v>
      </c>
      <c r="C36" s="41" t="s">
        <v>80</v>
      </c>
      <c r="D36" s="41"/>
      <c r="G36" s="40"/>
      <c r="H36" s="40"/>
    </row>
    <row r="37" spans="2:8">
      <c r="B37" s="23" t="s">
        <v>81</v>
      </c>
      <c r="C37" s="59">
        <v>1</v>
      </c>
      <c r="D37" s="41"/>
    </row>
    <row r="38" spans="2:8">
      <c r="B38" s="23" t="s">
        <v>82</v>
      </c>
      <c r="C38" s="59">
        <v>1</v>
      </c>
    </row>
    <row r="39" spans="2:8">
      <c r="B39" s="23" t="s">
        <v>83</v>
      </c>
      <c r="C39" s="59"/>
    </row>
    <row r="40" spans="2:8">
      <c r="B40" s="41" t="s">
        <v>42</v>
      </c>
      <c r="C40" s="60">
        <f>SUM(C37:C39)</f>
        <v>2</v>
      </c>
    </row>
  </sheetData>
  <mergeCells count="10">
    <mergeCell ref="B4:O4"/>
    <mergeCell ref="D5:O5"/>
    <mergeCell ref="B17:C17"/>
    <mergeCell ref="B18:C18"/>
    <mergeCell ref="B31:C31"/>
    <mergeCell ref="B30:C30"/>
    <mergeCell ref="B5:B8"/>
    <mergeCell ref="B10:B16"/>
    <mergeCell ref="B19:B29"/>
    <mergeCell ref="C5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06CC-1070-4E0D-ACF2-6DDAD48B7CC0}">
  <dimension ref="A1:M27"/>
  <sheetViews>
    <sheetView showGridLines="0" topLeftCell="A4" workbookViewId="0">
      <selection activeCell="A20" sqref="A20"/>
    </sheetView>
  </sheetViews>
  <sheetFormatPr defaultRowHeight="15"/>
  <cols>
    <col min="1" max="1" width="15.85546875" customWidth="1"/>
    <col min="2" max="2" width="2.42578125" customWidth="1"/>
    <col min="3" max="3" width="15.42578125" bestFit="1" customWidth="1"/>
    <col min="4" max="4" width="2.42578125" customWidth="1"/>
    <col min="5" max="5" width="6.42578125" customWidth="1"/>
    <col min="6" max="6" width="2.42578125" customWidth="1"/>
    <col min="7" max="7" width="26.42578125" bestFit="1" customWidth="1"/>
    <col min="8" max="8" width="4.42578125" customWidth="1"/>
    <col min="9" max="9" width="18.5703125" bestFit="1" customWidth="1"/>
    <col min="10" max="10" width="36" bestFit="1" customWidth="1"/>
    <col min="11" max="11" width="4.5703125" customWidth="1"/>
    <col min="12" max="12" width="27.85546875" customWidth="1"/>
    <col min="13" max="13" width="21.42578125" customWidth="1"/>
  </cols>
  <sheetData>
    <row r="1" spans="1:13">
      <c r="A1" s="8" t="s">
        <v>84</v>
      </c>
      <c r="C1" s="6" t="s">
        <v>85</v>
      </c>
      <c r="E1" s="4" t="s">
        <v>86</v>
      </c>
      <c r="G1" s="2" t="s">
        <v>87</v>
      </c>
      <c r="I1" s="163" t="s">
        <v>34</v>
      </c>
      <c r="J1" s="163"/>
      <c r="L1" s="61" t="s">
        <v>36</v>
      </c>
    </row>
    <row r="2" spans="1:13">
      <c r="A2" s="123" t="s">
        <v>88</v>
      </c>
      <c r="C2" s="7" t="s">
        <v>89</v>
      </c>
      <c r="E2" s="5" t="s">
        <v>90</v>
      </c>
      <c r="G2" s="124" t="s">
        <v>91</v>
      </c>
      <c r="I2" s="63" t="s">
        <v>39</v>
      </c>
      <c r="J2" s="63" t="s">
        <v>92</v>
      </c>
      <c r="L2" s="125" t="s">
        <v>93</v>
      </c>
      <c r="M2" s="126" t="s">
        <v>94</v>
      </c>
    </row>
    <row r="3" spans="1:13">
      <c r="A3" s="9" t="s">
        <v>95</v>
      </c>
      <c r="C3" s="7" t="s">
        <v>96</v>
      </c>
      <c r="E3" s="5" t="s">
        <v>97</v>
      </c>
      <c r="G3" s="3" t="s">
        <v>37</v>
      </c>
      <c r="I3" s="63" t="s">
        <v>98</v>
      </c>
      <c r="J3" s="63" t="s">
        <v>99</v>
      </c>
      <c r="L3" s="125" t="s">
        <v>100</v>
      </c>
      <c r="M3" s="126" t="s">
        <v>101</v>
      </c>
    </row>
    <row r="4" spans="1:13">
      <c r="A4" s="9" t="s">
        <v>102</v>
      </c>
      <c r="C4" s="7" t="s">
        <v>103</v>
      </c>
      <c r="E4" s="5" t="s">
        <v>104</v>
      </c>
      <c r="G4" s="124" t="s">
        <v>105</v>
      </c>
      <c r="I4" s="63" t="s">
        <v>106</v>
      </c>
      <c r="J4" s="63" t="s">
        <v>107</v>
      </c>
      <c r="L4" s="125" t="s">
        <v>108</v>
      </c>
    </row>
    <row r="5" spans="1:13">
      <c r="A5" s="9" t="s">
        <v>109</v>
      </c>
      <c r="C5" s="7" t="s">
        <v>110</v>
      </c>
      <c r="E5" s="5" t="s">
        <v>111</v>
      </c>
      <c r="I5" s="63" t="s">
        <v>112</v>
      </c>
      <c r="J5" s="63" t="s">
        <v>113</v>
      </c>
      <c r="L5" s="125" t="s">
        <v>114</v>
      </c>
    </row>
    <row r="6" spans="1:13">
      <c r="I6" s="63" t="s">
        <v>115</v>
      </c>
      <c r="J6" s="63" t="s">
        <v>116</v>
      </c>
      <c r="L6" s="125" t="s">
        <v>117</v>
      </c>
    </row>
    <row r="7" spans="1:13">
      <c r="I7" s="63" t="s">
        <v>118</v>
      </c>
      <c r="J7" s="63" t="s">
        <v>119</v>
      </c>
      <c r="L7" s="5" t="s">
        <v>120</v>
      </c>
    </row>
    <row r="8" spans="1:13">
      <c r="I8" s="63" t="s">
        <v>121</v>
      </c>
      <c r="J8" s="63" t="s">
        <v>122</v>
      </c>
      <c r="L8" s="62" t="s">
        <v>123</v>
      </c>
    </row>
    <row r="9" spans="1:13">
      <c r="I9" s="63" t="s">
        <v>97</v>
      </c>
      <c r="J9" s="63" t="s">
        <v>124</v>
      </c>
      <c r="L9" s="124" t="s">
        <v>125</v>
      </c>
    </row>
    <row r="10" spans="1:13">
      <c r="L10" s="124" t="s">
        <v>41</v>
      </c>
    </row>
    <row r="11" spans="1:13">
      <c r="L11" s="124" t="s">
        <v>126</v>
      </c>
    </row>
    <row r="12" spans="1:13">
      <c r="A12" s="74" t="s">
        <v>127</v>
      </c>
      <c r="L12" s="124" t="s">
        <v>128</v>
      </c>
    </row>
    <row r="13" spans="1:13">
      <c r="L13" s="124" t="s">
        <v>129</v>
      </c>
    </row>
    <row r="14" spans="1:13">
      <c r="A14" s="76" t="s">
        <v>130</v>
      </c>
      <c r="B14" s="74"/>
      <c r="C14" s="74"/>
      <c r="D14" s="74"/>
      <c r="E14" s="74"/>
      <c r="F14" s="74"/>
      <c r="G14" s="76" t="s">
        <v>131</v>
      </c>
      <c r="J14" s="76" t="s">
        <v>167</v>
      </c>
      <c r="L14" s="127" t="s">
        <v>132</v>
      </c>
    </row>
    <row r="15" spans="1:13">
      <c r="A15" s="75" t="s">
        <v>133</v>
      </c>
      <c r="G15" s="128" t="s">
        <v>40</v>
      </c>
      <c r="J15" s="128" t="s">
        <v>168</v>
      </c>
      <c r="L15" s="1" t="s">
        <v>134</v>
      </c>
    </row>
    <row r="16" spans="1:13">
      <c r="A16" s="75" t="s">
        <v>38</v>
      </c>
      <c r="B16" s="126" t="s">
        <v>135</v>
      </c>
      <c r="G16" s="132" t="s">
        <v>166</v>
      </c>
      <c r="J16" s="128" t="s">
        <v>98</v>
      </c>
      <c r="L16" s="129" t="s">
        <v>137</v>
      </c>
    </row>
    <row r="17" spans="1:13">
      <c r="A17" s="75" t="s">
        <v>162</v>
      </c>
      <c r="B17" s="131" t="s">
        <v>163</v>
      </c>
      <c r="G17" s="128" t="s">
        <v>5</v>
      </c>
      <c r="H17" s="126" t="s">
        <v>136</v>
      </c>
      <c r="J17" s="128" t="s">
        <v>106</v>
      </c>
      <c r="L17" s="129" t="s">
        <v>139</v>
      </c>
    </row>
    <row r="18" spans="1:13">
      <c r="A18" s="75" t="s">
        <v>164</v>
      </c>
      <c r="B18" s="126"/>
      <c r="G18" s="128" t="s">
        <v>4</v>
      </c>
      <c r="H18" s="126" t="s">
        <v>138</v>
      </c>
      <c r="J18" s="128" t="s">
        <v>169</v>
      </c>
      <c r="L18" s="129" t="s">
        <v>142</v>
      </c>
      <c r="M18" s="126" t="s">
        <v>143</v>
      </c>
    </row>
    <row r="19" spans="1:13">
      <c r="A19" s="75" t="s">
        <v>165</v>
      </c>
      <c r="B19" s="126"/>
      <c r="J19" s="128" t="s">
        <v>170</v>
      </c>
      <c r="L19" s="129" t="s">
        <v>146</v>
      </c>
    </row>
    <row r="20" spans="1:13">
      <c r="A20" s="75" t="s">
        <v>177</v>
      </c>
      <c r="B20" s="126"/>
      <c r="J20" s="128" t="s">
        <v>171</v>
      </c>
      <c r="L20" s="129" t="s">
        <v>148</v>
      </c>
      <c r="M20" s="126" t="s">
        <v>149</v>
      </c>
    </row>
    <row r="21" spans="1:13">
      <c r="A21" s="75" t="s">
        <v>140</v>
      </c>
      <c r="B21" s="126" t="s">
        <v>141</v>
      </c>
      <c r="L21" s="128" t="s">
        <v>151</v>
      </c>
    </row>
    <row r="22" spans="1:13">
      <c r="A22" s="75" t="s">
        <v>144</v>
      </c>
      <c r="B22" s="126" t="s">
        <v>145</v>
      </c>
      <c r="L22" s="128" t="s">
        <v>152</v>
      </c>
    </row>
    <row r="23" spans="1:13">
      <c r="A23" s="75" t="s">
        <v>147</v>
      </c>
      <c r="L23" s="128" t="s">
        <v>153</v>
      </c>
    </row>
    <row r="24" spans="1:13">
      <c r="A24" s="75" t="s">
        <v>150</v>
      </c>
      <c r="L24" s="130" t="s">
        <v>154</v>
      </c>
      <c r="M24" s="126" t="s">
        <v>155</v>
      </c>
    </row>
    <row r="25" spans="1:13">
      <c r="L25" s="130" t="s">
        <v>156</v>
      </c>
      <c r="M25" s="126" t="s">
        <v>157</v>
      </c>
    </row>
    <row r="26" spans="1:13">
      <c r="L26" s="130" t="s">
        <v>158</v>
      </c>
      <c r="M26" s="126" t="s">
        <v>159</v>
      </c>
    </row>
    <row r="27" spans="1:13">
      <c r="L27" s="130" t="s">
        <v>160</v>
      </c>
      <c r="M27" s="126" t="s">
        <v>161</v>
      </c>
    </row>
  </sheetData>
  <sortState xmlns:xlrd2="http://schemas.microsoft.com/office/spreadsheetml/2017/richdata2" ref="G2:G4">
    <sortCondition ref="G2:G4"/>
  </sortState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Budget Overview</vt:lpstr>
      <vt:lpstr>Workforce Budget</vt:lpstr>
      <vt:lpstr>Practices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Nithya .S</cp:lastModifiedBy>
  <cp:revision/>
  <dcterms:created xsi:type="dcterms:W3CDTF">2022-03-24T04:09:00Z</dcterms:created>
  <dcterms:modified xsi:type="dcterms:W3CDTF">2026-04-10T12:43:18Z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069781F054074497AEC8F4F15F2828EB</vt:lpwstr>
  </property>
  <property fmtid="{D5CDD505-2E9C-101B-9397-08002B2CF9AE}" pid="3" name="KSOProductBuildVer">
    <vt:lpwstr>1033-11.2.0.11167</vt:lpwstr>
  </property>
  <property fmtid="{D5CDD505-2E9C-101B-9397-08002B2CF9AE}" pid="4" name="KSOReadingLayout">
    <vt:bool>true</vt:bool>
  </property>
</Properties>
</file>