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rche/Downloads/"/>
    </mc:Choice>
  </mc:AlternateContent>
  <xr:revisionPtr revIDLastSave="0" documentId="8_{B241CA8D-753D-204B-A396-73A753FAAA93}" xr6:coauthVersionLast="47" xr6:coauthVersionMax="47" xr10:uidLastSave="{00000000-0000-0000-0000-000000000000}"/>
  <bookViews>
    <workbookView xWindow="0" yWindow="760" windowWidth="20740" windowHeight="11040" tabRatio="911" firstSheet="1" activeTab="6" xr2:uid="{00000000-000D-0000-FFFF-FFFF00000000}"/>
  </bookViews>
  <sheets>
    <sheet name="Total Cash Flow" sheetId="19" r:id="rId1"/>
    <sheet name="Summary" sheetId="3" r:id="rId2"/>
    <sheet name="IT Components" sheetId="10" r:id="rId3"/>
    <sheet name=" Non-IT components" sheetId="11" r:id="rId4"/>
    <sheet name="Support 3 Years" sheetId="15" r:id="rId5"/>
    <sheet name="Migration Support " sheetId="16" r:id="rId6"/>
    <sheet name="Implementation Resources" sheetId="17" r:id="rId7"/>
    <sheet name=" Non-IT components Breakup" sheetId="13"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3" l="1"/>
  <c r="J22" i="10"/>
  <c r="J20" i="10"/>
  <c r="J19" i="10"/>
  <c r="J18" i="10"/>
  <c r="J3" i="15"/>
  <c r="F27" i="19"/>
  <c r="I25" i="19"/>
  <c r="G27" i="19"/>
  <c r="G72" i="19" s="1"/>
  <c r="G48" i="19"/>
  <c r="G47" i="19"/>
  <c r="F69" i="19"/>
  <c r="F68" i="19"/>
  <c r="F67" i="19"/>
  <c r="F66" i="19"/>
  <c r="G66" i="19" s="1"/>
  <c r="F65" i="19"/>
  <c r="G65" i="19" s="1"/>
  <c r="F64" i="19"/>
  <c r="G64" i="19" s="1"/>
  <c r="F63" i="19"/>
  <c r="G63" i="19" s="1"/>
  <c r="F62" i="19"/>
  <c r="F61" i="19"/>
  <c r="F60" i="19"/>
  <c r="F59" i="19"/>
  <c r="F58" i="19"/>
  <c r="G58" i="19" s="1"/>
  <c r="F57" i="19"/>
  <c r="G57" i="19" s="1"/>
  <c r="F56" i="19"/>
  <c r="G56" i="19" s="1"/>
  <c r="F55" i="19"/>
  <c r="F54" i="19"/>
  <c r="F53" i="19"/>
  <c r="F52" i="19"/>
  <c r="F51" i="19"/>
  <c r="F50" i="19"/>
  <c r="G50" i="19" s="1"/>
  <c r="F49" i="19"/>
  <c r="F48" i="19"/>
  <c r="F47" i="19"/>
  <c r="F46" i="19"/>
  <c r="F45" i="19"/>
  <c r="F44" i="19"/>
  <c r="F43" i="19"/>
  <c r="F42" i="19"/>
  <c r="F41" i="19"/>
  <c r="F40" i="19"/>
  <c r="G40" i="19" s="1"/>
  <c r="F39" i="19"/>
  <c r="F38" i="19"/>
  <c r="F37" i="19"/>
  <c r="F36" i="19"/>
  <c r="F35" i="19"/>
  <c r="G55" i="19"/>
  <c r="G54" i="19"/>
  <c r="G53" i="19"/>
  <c r="G52" i="19"/>
  <c r="G51" i="19"/>
  <c r="F34" i="19"/>
  <c r="G34" i="19" s="1"/>
  <c r="F33" i="19"/>
  <c r="F32" i="19"/>
  <c r="F31" i="19"/>
  <c r="F30" i="19"/>
  <c r="F29" i="19"/>
  <c r="G29" i="19" s="1"/>
  <c r="F28" i="19"/>
  <c r="F26" i="19"/>
  <c r="F25" i="19"/>
  <c r="G25" i="19"/>
  <c r="G71" i="19"/>
  <c r="G70" i="19"/>
  <c r="G69" i="19"/>
  <c r="G68" i="19"/>
  <c r="G67" i="19"/>
  <c r="G62" i="19"/>
  <c r="G61" i="19"/>
  <c r="G60" i="19"/>
  <c r="G59" i="19"/>
  <c r="G49" i="19"/>
  <c r="G46" i="19"/>
  <c r="G45" i="19"/>
  <c r="G44" i="19"/>
  <c r="G43" i="19"/>
  <c r="G42" i="19"/>
  <c r="G41" i="19"/>
  <c r="G39" i="19"/>
  <c r="G38" i="19"/>
  <c r="G37" i="19"/>
  <c r="G36" i="19"/>
  <c r="G35" i="19"/>
  <c r="G33" i="19"/>
  <c r="G32" i="19"/>
  <c r="G31" i="19"/>
  <c r="G30" i="19"/>
  <c r="G28" i="19"/>
  <c r="G26" i="19"/>
  <c r="E72" i="19"/>
  <c r="E70" i="19"/>
  <c r="E58" i="19"/>
  <c r="E46" i="19"/>
  <c r="D70" i="19"/>
  <c r="D34" i="19"/>
  <c r="D46" i="19"/>
  <c r="D58" i="19"/>
  <c r="E45" i="19"/>
  <c r="E44" i="19"/>
  <c r="E43" i="19"/>
  <c r="E42" i="19"/>
  <c r="E41" i="19"/>
  <c r="E40" i="19"/>
  <c r="E39" i="19"/>
  <c r="E38" i="19"/>
  <c r="E37" i="19"/>
  <c r="E36" i="19"/>
  <c r="E35" i="19"/>
  <c r="E34" i="19"/>
  <c r="E33" i="19"/>
  <c r="E32" i="19"/>
  <c r="E31" i="19"/>
  <c r="E30" i="19"/>
  <c r="E29" i="19"/>
  <c r="E28" i="19"/>
  <c r="E27" i="19"/>
  <c r="E26" i="19"/>
  <c r="D45" i="19"/>
  <c r="D33" i="19"/>
  <c r="D27" i="19"/>
  <c r="C17" i="19" l="1"/>
  <c r="C16" i="19"/>
  <c r="C18" i="19" s="1"/>
  <c r="C12" i="19"/>
  <c r="D25" i="19"/>
  <c r="E25" i="19" s="1"/>
  <c r="C11" i="19"/>
  <c r="C10" i="19"/>
  <c r="C1" i="19"/>
  <c r="C19" i="19" l="1"/>
  <c r="C20" i="19"/>
  <c r="H25" i="19"/>
  <c r="J25" i="19" l="1"/>
  <c r="H26" i="19" s="1"/>
  <c r="I26" i="19" l="1"/>
  <c r="J26" i="19" s="1"/>
  <c r="H27" i="19" s="1"/>
  <c r="I27" i="19" l="1"/>
  <c r="J27" i="19" s="1"/>
  <c r="H28" i="19" s="1"/>
  <c r="I28" i="19" l="1"/>
  <c r="J28" i="19" s="1"/>
  <c r="H29" i="19" s="1"/>
  <c r="I29" i="19" s="1"/>
  <c r="J29" i="19" l="1"/>
  <c r="H30" i="19" s="1"/>
  <c r="I30" i="19" l="1"/>
  <c r="J30" i="19"/>
  <c r="H31" i="19" s="1"/>
  <c r="H6" i="3"/>
  <c r="F7" i="3"/>
  <c r="H7" i="3" s="1"/>
  <c r="F6" i="3"/>
  <c r="J28" i="11"/>
  <c r="J25" i="11"/>
  <c r="J24" i="11"/>
  <c r="J23" i="11"/>
  <c r="J22" i="11"/>
  <c r="J21" i="11"/>
  <c r="J20" i="11"/>
  <c r="J19" i="11"/>
  <c r="J18" i="11"/>
  <c r="J17" i="11"/>
  <c r="J16" i="11"/>
  <c r="J15" i="11"/>
  <c r="J14" i="11"/>
  <c r="J13" i="11"/>
  <c r="J12" i="11"/>
  <c r="J11" i="11"/>
  <c r="J10" i="11"/>
  <c r="J9" i="11"/>
  <c r="J8" i="11"/>
  <c r="J7" i="11"/>
  <c r="J6" i="11"/>
  <c r="J5" i="11"/>
  <c r="I31" i="19" l="1"/>
  <c r="J31" i="19"/>
  <c r="H32" i="19" s="1"/>
  <c r="I32" i="19" l="1"/>
  <c r="J32" i="19"/>
  <c r="H33" i="19" s="1"/>
  <c r="I33" i="19" l="1"/>
  <c r="J33" i="19"/>
  <c r="H34" i="19" s="1"/>
  <c r="I34" i="19" l="1"/>
  <c r="J34" i="19"/>
  <c r="H35" i="19" s="1"/>
  <c r="I35" i="19" l="1"/>
  <c r="J35" i="19"/>
  <c r="H36" i="19" s="1"/>
  <c r="I36" i="19" l="1"/>
  <c r="J36" i="19"/>
  <c r="H37" i="19" s="1"/>
  <c r="K22" i="10"/>
  <c r="K4" i="15"/>
  <c r="K3" i="15"/>
  <c r="K6" i="15" s="1"/>
  <c r="F8" i="3" s="1"/>
  <c r="H8" i="3" s="1"/>
  <c r="K26" i="10"/>
  <c r="K25" i="10"/>
  <c r="K20" i="10"/>
  <c r="K19" i="10"/>
  <c r="K18" i="10"/>
  <c r="K17" i="10"/>
  <c r="K16" i="10"/>
  <c r="I37" i="19" l="1"/>
  <c r="J37" i="19"/>
  <c r="H38" i="19" s="1"/>
  <c r="K10" i="10"/>
  <c r="K9" i="10"/>
  <c r="K8" i="10"/>
  <c r="K27" i="10" s="1"/>
  <c r="F5" i="3" s="1"/>
  <c r="K7" i="10"/>
  <c r="K6" i="10"/>
  <c r="K5" i="10"/>
  <c r="H14" i="17"/>
  <c r="F11" i="17"/>
  <c r="F10" i="17"/>
  <c r="F9" i="17"/>
  <c r="F8" i="17"/>
  <c r="F7" i="17"/>
  <c r="F6" i="17"/>
  <c r="F5" i="17"/>
  <c r="H11" i="17"/>
  <c r="H6" i="17"/>
  <c r="H10" i="17"/>
  <c r="H9" i="17"/>
  <c r="H8" i="17"/>
  <c r="H7" i="17"/>
  <c r="H5" i="17"/>
  <c r="I38" i="19" l="1"/>
  <c r="J38" i="19"/>
  <c r="H39" i="19" s="1"/>
  <c r="F9" i="3"/>
  <c r="H5" i="3"/>
  <c r="H9" i="3" s="1"/>
  <c r="H12" i="3" s="1"/>
  <c r="H12" i="17"/>
  <c r="H15" i="17" s="1"/>
  <c r="I39" i="19" l="1"/>
  <c r="J39" i="19"/>
  <c r="H40" i="19" s="1"/>
  <c r="G15" i="10"/>
  <c r="I40" i="19" l="1"/>
  <c r="J40" i="19"/>
  <c r="H41" i="19" s="1"/>
  <c r="E15" i="11"/>
  <c r="F22" i="10"/>
  <c r="I41" i="19" l="1"/>
  <c r="J41" i="19"/>
  <c r="H42" i="19" s="1"/>
  <c r="E19" i="11"/>
  <c r="I42" i="19" l="1"/>
  <c r="J42" i="19"/>
  <c r="H43" i="19" s="1"/>
  <c r="F3" i="10"/>
  <c r="I43" i="19" l="1"/>
  <c r="J43" i="19"/>
  <c r="H44" i="19" s="1"/>
  <c r="F17" i="10"/>
  <c r="I44" i="19" l="1"/>
  <c r="J44" i="19"/>
  <c r="H45" i="19" s="1"/>
  <c r="F5" i="11"/>
  <c r="F25" i="10"/>
  <c r="G4" i="15"/>
  <c r="G3" i="15"/>
  <c r="F16" i="10"/>
  <c r="G17" i="10"/>
  <c r="E18" i="11"/>
  <c r="I45" i="19" l="1"/>
  <c r="J45" i="19"/>
  <c r="H46" i="19" s="1"/>
  <c r="G5" i="15"/>
  <c r="E24" i="11"/>
  <c r="E21" i="11"/>
  <c r="E20" i="11"/>
  <c r="E9" i="11"/>
  <c r="I46" i="19" l="1"/>
  <c r="J46" i="19"/>
  <c r="H47" i="19" s="1"/>
  <c r="D7" i="13"/>
  <c r="D12" i="13" s="1"/>
  <c r="D13" i="13"/>
  <c r="D15" i="13"/>
  <c r="D78" i="13"/>
  <c r="D80" i="13" s="1"/>
  <c r="D79" i="13"/>
  <c r="D81" i="13"/>
  <c r="D82" i="13"/>
  <c r="D135" i="13"/>
  <c r="D136" i="13" s="1"/>
  <c r="D151" i="13"/>
  <c r="D152" i="13" s="1"/>
  <c r="D164" i="13"/>
  <c r="D165" i="13" s="1"/>
  <c r="D189" i="13"/>
  <c r="D190" i="13" s="1"/>
  <c r="D204" i="13"/>
  <c r="I47" i="19" l="1"/>
  <c r="J47" i="19"/>
  <c r="H48" i="19" s="1"/>
  <c r="E17" i="11"/>
  <c r="I48" i="19" l="1"/>
  <c r="J48" i="19"/>
  <c r="H49" i="19" s="1"/>
  <c r="F6" i="11"/>
  <c r="F7" i="11"/>
  <c r="F8" i="11"/>
  <c r="F9" i="11"/>
  <c r="F10" i="11"/>
  <c r="F11" i="11"/>
  <c r="F12" i="11"/>
  <c r="F14" i="11"/>
  <c r="F15" i="11"/>
  <c r="F16" i="11"/>
  <c r="F17" i="11"/>
  <c r="F18" i="11"/>
  <c r="F19" i="11"/>
  <c r="F20" i="11"/>
  <c r="F21" i="11"/>
  <c r="F22" i="11"/>
  <c r="F23" i="11"/>
  <c r="F24" i="11"/>
  <c r="F25" i="11"/>
  <c r="F13" i="11"/>
  <c r="I49" i="19" l="1"/>
  <c r="J49" i="19"/>
  <c r="H50" i="19" s="1"/>
  <c r="F26" i="11"/>
  <c r="G25" i="10"/>
  <c r="G26" i="10"/>
  <c r="I50" i="19" l="1"/>
  <c r="J50" i="19"/>
  <c r="H51" i="19" s="1"/>
  <c r="D6" i="3"/>
  <c r="G24" i="10"/>
  <c r="G23" i="10"/>
  <c r="G22" i="10"/>
  <c r="G21" i="10"/>
  <c r="G20" i="10"/>
  <c r="G19" i="10"/>
  <c r="G18" i="10"/>
  <c r="G4" i="10"/>
  <c r="G16" i="10"/>
  <c r="G14" i="10"/>
  <c r="G13" i="10"/>
  <c r="G12" i="10"/>
  <c r="G11" i="10"/>
  <c r="G10" i="10"/>
  <c r="G9" i="10"/>
  <c r="G8" i="10"/>
  <c r="G7" i="10"/>
  <c r="G6" i="10"/>
  <c r="G5" i="10"/>
  <c r="G3" i="10"/>
  <c r="I51" i="19" l="1"/>
  <c r="J51" i="19"/>
  <c r="H52" i="19" s="1"/>
  <c r="G27" i="10"/>
  <c r="D5" i="3" s="1"/>
  <c r="I52" i="19" l="1"/>
  <c r="J52" i="19"/>
  <c r="H53" i="19" s="1"/>
  <c r="D9" i="3"/>
  <c r="I53" i="19" l="1"/>
  <c r="J53" i="19"/>
  <c r="H54" i="19" s="1"/>
  <c r="D10" i="3"/>
  <c r="H14" i="3" s="1"/>
  <c r="H13" i="3"/>
  <c r="I54" i="19" l="1"/>
  <c r="J54" i="19"/>
  <c r="H55" i="19" s="1"/>
  <c r="I55" i="19" l="1"/>
  <c r="J55" i="19"/>
  <c r="H56" i="19" s="1"/>
  <c r="I56" i="19" l="1"/>
  <c r="J56" i="19"/>
  <c r="H57" i="19" s="1"/>
  <c r="I57" i="19" l="1"/>
  <c r="J57" i="19"/>
  <c r="H58" i="19" s="1"/>
  <c r="I58" i="19" l="1"/>
  <c r="J58" i="19"/>
  <c r="H59" i="19" s="1"/>
  <c r="I59" i="19" l="1"/>
  <c r="J59" i="19"/>
  <c r="H60" i="19" s="1"/>
  <c r="I60" i="19" l="1"/>
  <c r="J60" i="19"/>
  <c r="H61" i="19" s="1"/>
  <c r="I61" i="19" l="1"/>
  <c r="J61" i="19"/>
  <c r="H62" i="19" s="1"/>
  <c r="I62" i="19" l="1"/>
  <c r="J62" i="19"/>
  <c r="H63" i="19" s="1"/>
  <c r="I63" i="19" l="1"/>
  <c r="J63" i="19"/>
  <c r="H64" i="19" s="1"/>
  <c r="I64" i="19" l="1"/>
  <c r="J64" i="19"/>
  <c r="H65" i="19" s="1"/>
  <c r="I65" i="19" l="1"/>
  <c r="J65" i="19"/>
  <c r="H66" i="19" s="1"/>
  <c r="I66" i="19" l="1"/>
  <c r="J66" i="19"/>
  <c r="H67" i="19" s="1"/>
  <c r="I67" i="19" l="1"/>
  <c r="J67" i="19"/>
  <c r="H68" i="19" s="1"/>
  <c r="I68" i="19" l="1"/>
  <c r="J68" i="19"/>
  <c r="H69" i="19" s="1"/>
  <c r="I69" i="19" l="1"/>
  <c r="J69" i="19"/>
  <c r="H70" i="19" s="1"/>
  <c r="I70" i="19" l="1"/>
  <c r="J70" i="19"/>
  <c r="H71" i="19" s="1"/>
  <c r="J71" i="19" s="1"/>
</calcChain>
</file>

<file path=xl/sharedStrings.xml><?xml version="1.0" encoding="utf-8"?>
<sst xmlns="http://schemas.openxmlformats.org/spreadsheetml/2006/main" count="809" uniqueCount="431">
  <si>
    <t>S. No.</t>
  </si>
  <si>
    <t>UOM</t>
  </si>
  <si>
    <t>Qty</t>
  </si>
  <si>
    <t>Lot</t>
  </si>
  <si>
    <t>Supply, installation, testing and commissioning of DG Set</t>
  </si>
  <si>
    <t>No.</t>
  </si>
  <si>
    <t>Supply, installation, testing and commissioning of Electrical Panels</t>
  </si>
  <si>
    <t>Supply, installation and testing of Lighting system</t>
  </si>
  <si>
    <t>Supply, installation, testing of Earthing system</t>
  </si>
  <si>
    <t>Supply of electrical safety aids</t>
  </si>
  <si>
    <t>Nos.</t>
  </si>
  <si>
    <t>Supply, installation, testing and commissioning of clean agent based hand held fire extinguishers for Data Centre</t>
  </si>
  <si>
    <t>Supply, installation, testing and commissioning of Surveillance System</t>
  </si>
  <si>
    <t>Supply, installation, testing and commissioning of Access control system</t>
  </si>
  <si>
    <t>Supply, installation, testing and commissioning of Rodent Repellant System</t>
  </si>
  <si>
    <t>Supply, installation, testing and commissioning of Water leak detection system</t>
  </si>
  <si>
    <t>Total</t>
  </si>
  <si>
    <t>Supply, Installation, testing and commissioning of sequencers for ACs in Server Room, Battery Room, Telco Room, Staging Room, Electrical Room</t>
  </si>
  <si>
    <t>SN</t>
  </si>
  <si>
    <t>Item Description</t>
  </si>
  <si>
    <t>Unit</t>
  </si>
  <si>
    <t>Total Amount INR</t>
  </si>
  <si>
    <t>No</t>
  </si>
  <si>
    <t>Storage / Disaster Recovery Devices</t>
  </si>
  <si>
    <t xml:space="preserve">Firewall (For Internet) with VPN Module </t>
  </si>
  <si>
    <t>Firewall (For Intranet) 
with VPN Module</t>
  </si>
  <si>
    <t>Server Security with 3 Years Support</t>
  </si>
  <si>
    <t>Backup Software with 3 Years Support</t>
  </si>
  <si>
    <t>Backup Solution for DC</t>
  </si>
  <si>
    <t>Router</t>
  </si>
  <si>
    <t>Core Switch</t>
  </si>
  <si>
    <t>Top Of Rack SW (TOR)</t>
  </si>
  <si>
    <t>L2-Switch</t>
  </si>
  <si>
    <t>Network Accessories</t>
  </si>
  <si>
    <t>Lumsum</t>
  </si>
  <si>
    <t>Server Accessories</t>
  </si>
  <si>
    <t>Virtualization (Cloud Application)</t>
  </si>
  <si>
    <t>Hypervisor for Six Servers (Quantity will depend on OEM solution)</t>
  </si>
  <si>
    <t>SQL Licenses</t>
  </si>
  <si>
    <t>OS Licenses (Linux)</t>
  </si>
  <si>
    <t>Redhat Data Center Licenses with 3 year standard support</t>
  </si>
  <si>
    <t>OS Licenses(Windows)</t>
  </si>
  <si>
    <t>Monitoring Solution</t>
  </si>
  <si>
    <t>License per Virtual Machines</t>
  </si>
  <si>
    <t>O&amp;M Support for 3 Years</t>
  </si>
  <si>
    <t xml:space="preserve">Comprehensive Support for all supplied items as above. </t>
  </si>
  <si>
    <t xml:space="preserve">Migration of Existing Services </t>
  </si>
  <si>
    <t>Item Descriotion</t>
  </si>
  <si>
    <t>S.No.</t>
  </si>
  <si>
    <t>Description</t>
  </si>
  <si>
    <t>Total Price</t>
  </si>
  <si>
    <t>A</t>
  </si>
  <si>
    <t>B</t>
  </si>
  <si>
    <t>C</t>
  </si>
  <si>
    <t>IPSec VPN throughput - 1 Gbps,                                                                
Firewall throughput 10 Gbps,                            
Threat prevention throughput - 1 Gbps with 36 Months Support &amp; License, 
SSL VPN 10 Clients</t>
  </si>
  <si>
    <t>IPSec VPN throughput - 1 Gbps,                                                                
Firewall throughput 10 Gbps,                            
Threat prevention throughput - 1 Gbps with 36 Months Support &amp; License, 
SSL VPN 200 Clients</t>
  </si>
  <si>
    <t>MS Sql server Standard latest version (licence per 8 Core)</t>
  </si>
  <si>
    <t xml:space="preserve">MS Windows Server Datacenter latest version (License per 32 core) </t>
  </si>
  <si>
    <t>TOTAL</t>
  </si>
  <si>
    <t>Rate per unit (INR)</t>
  </si>
  <si>
    <t xml:space="preserve">One Onsite L2 Engineer </t>
  </si>
  <si>
    <t>Server</t>
  </si>
  <si>
    <t>Terms &amp; Conditions</t>
  </si>
  <si>
    <t>Prices</t>
  </si>
  <si>
    <t>Support</t>
  </si>
  <si>
    <t>Project Execution</t>
  </si>
  <si>
    <t>NAS High Convergence Storage Total 240 TB NLSAS HDD Usable Storage (Used for Backup purpose)</t>
  </si>
  <si>
    <t>Supply and installation of furniture (worktable and chairs) for NOC room</t>
  </si>
  <si>
    <t>Supply and installation of Cabling system for Data Centre including electrical switches and power sockets</t>
  </si>
  <si>
    <t>55" LED display panels with HDMI connectivity &amp; mounting brackets</t>
  </si>
  <si>
    <t>F</t>
  </si>
  <si>
    <t>H</t>
  </si>
  <si>
    <t>Workstation PC</t>
  </si>
  <si>
    <t>LED display</t>
  </si>
  <si>
    <t>Nos</t>
  </si>
  <si>
    <t>Supply and installation of Mobile industrial sockets for IT racks</t>
  </si>
  <si>
    <t>Supply, installation, testing and commissioning of Inrow Cooling Units for the Server Room- 25kW</t>
  </si>
  <si>
    <t>Supply, installation, testing and commissioning of Gas based fire suppression system (NOVEC1230 or Equivalent for Server Room)</t>
  </si>
  <si>
    <t>Supply, installation, testing and commissioning of BMS</t>
  </si>
  <si>
    <t>Supply &amp; Installation of Containment for the 8 racks with doors</t>
  </si>
  <si>
    <t>Set</t>
  </si>
  <si>
    <t>Unit Rate</t>
  </si>
  <si>
    <t>Non-IT Services for Data Center</t>
  </si>
  <si>
    <t xml:space="preserve">Civil and Interior works comprising of demolition works, construction of partition walls, Supply and installation of Fire rated doors, installation of vinyl flooring, DG foundation and miscellaneous works </t>
  </si>
  <si>
    <t>Supply, installation, testing and commissioning of Fire Alarm System &amp; VESDA</t>
  </si>
  <si>
    <t>1. Network cabling for 8 racks includes Fiber OM4, Cat 6A Cable, Fibre Parch Cords, Patch Panels etc.  
2. 2xTelco racks and PDUs</t>
  </si>
  <si>
    <t xml:space="preserve">24 x10G SFP+ ports with 36 Months Service &amp; Support with SR Transceivers </t>
  </si>
  <si>
    <t xml:space="preserve">48-port x 1/10/25G + 4-port 40/100G, with 36 Months Service &amp; Support, minimum throughput 3.2 Tbps with 16 SR and 8 LR Transceivers </t>
  </si>
  <si>
    <t xml:space="preserve">Router throughput of 80Gbps,  8x10G ports and 4 x1G LAN ports with 36 Months Service &amp; Support. Loaded with 6 10G LR and 2 10G SR interfaces </t>
  </si>
  <si>
    <t xml:space="preserve">24x1G PoE+, 4 x 10G with 36 Months Service &amp; Support </t>
  </si>
  <si>
    <t>Total Cost</t>
  </si>
  <si>
    <t xml:space="preserve">Remarks </t>
  </si>
  <si>
    <t xml:space="preserve"> Specifications </t>
  </si>
  <si>
    <t>Ls</t>
  </si>
  <si>
    <t xml:space="preserve">Installation of above mentioned equipment </t>
  </si>
  <si>
    <t>Supply of Swinging doors with handles</t>
  </si>
  <si>
    <t>Supply of Metal frame support for polycarbonate sheet</t>
  </si>
  <si>
    <t>Supply of Polycarbonate sheet</t>
  </si>
  <si>
    <t>Job</t>
  </si>
  <si>
    <t xml:space="preserve">Knowledge transfer regarding operation &amp; Maintenance of BMS through staff training. </t>
  </si>
  <si>
    <t>Documentation and SoP development for Three year O&amp;M</t>
  </si>
  <si>
    <t>Design consumption during testing and commissioning.</t>
  </si>
  <si>
    <t xml:space="preserve">Spares for the immediate support and restoration </t>
  </si>
  <si>
    <t>Years</t>
  </si>
  <si>
    <t xml:space="preserve">AMC support </t>
  </si>
  <si>
    <t xml:space="preserve">Warranty support from Local dealers of OEMs </t>
  </si>
  <si>
    <t>Supply of T&amp;RH sensor</t>
  </si>
  <si>
    <t>Supply of communication cable</t>
  </si>
  <si>
    <t xml:space="preserve">Supply of DDCs for the below equipment:
1. DG set
2. UPS 
3. Electrical Panel
4. IRCs
5. Fire Alarm System
6. Fire Suppression System
7. VESDA
8. ACS
9. RRS
10. WLD
11. Hydrogen Sensor
12. T&amp;RH sensor
</t>
  </si>
  <si>
    <t>Supply of BMS Software</t>
  </si>
  <si>
    <t xml:space="preserve">Knowledge transfer regarding operation &amp; Maintenance of WLD through staff training. </t>
  </si>
  <si>
    <t>Supply of Hooter</t>
  </si>
  <si>
    <t>Supply of Sensing cable-15mtrs</t>
  </si>
  <si>
    <t>Supply of Water detection panel-4 zone</t>
  </si>
  <si>
    <t xml:space="preserve">Knowledge transfer regarding operation &amp; Maintenance of RRS through staff training. </t>
  </si>
  <si>
    <t>Mtrs</t>
  </si>
  <si>
    <t>Supply of MS conduit with saddles</t>
  </si>
  <si>
    <t>Supply of Communication cable</t>
  </si>
  <si>
    <t>Supply of Transducers</t>
  </si>
  <si>
    <t>Supply of RRS panel with wall mount brackets</t>
  </si>
  <si>
    <t xml:space="preserve">Knowledge transfer regarding operation &amp; Maintenance of ACS through staff training. </t>
  </si>
  <si>
    <t xml:space="preserve">Three Year AMC support </t>
  </si>
  <si>
    <t xml:space="preserve"> Warranty support from Local dealers of OEMs </t>
  </si>
  <si>
    <t>Supply of commuication cable between field devices and controller</t>
  </si>
  <si>
    <t>Supply of Electro Magnetic locks with door position sensor</t>
  </si>
  <si>
    <t>Supply of Break glass unit</t>
  </si>
  <si>
    <t>Supply of Push button</t>
  </si>
  <si>
    <t>Supply of Smart card reader</t>
  </si>
  <si>
    <t>Supply of Biometric reader for Server room</t>
  </si>
  <si>
    <t>Supply of IP door controller- 2 door controller</t>
  </si>
  <si>
    <t xml:space="preserve">Knowledge transfer regarding operation &amp; Maintenance of Surveillance System through staff training. </t>
  </si>
  <si>
    <t>Supply of conduits</t>
  </si>
  <si>
    <t>Supply of Network cable</t>
  </si>
  <si>
    <t>Supply of Switch- 24 port</t>
  </si>
  <si>
    <t>Supply of NVR -16 channel with 30 days backup</t>
  </si>
  <si>
    <t>Supply of cameras</t>
  </si>
  <si>
    <t xml:space="preserve">Knowledge transfer regarding operation &amp; Maintenance of Fire suppression System through staff training. </t>
  </si>
  <si>
    <t>Establing communication between Fire alarm system and Fire suppression system</t>
  </si>
  <si>
    <t>Supply of Release switch</t>
  </si>
  <si>
    <t>Supply of Abort switch</t>
  </si>
  <si>
    <t>Supply of Hooters</t>
  </si>
  <si>
    <t>Supply of Gas release panel</t>
  </si>
  <si>
    <t>Sets</t>
  </si>
  <si>
    <t>Supply of Manifold</t>
  </si>
  <si>
    <t>Supply of MS piping and supports</t>
  </si>
  <si>
    <t>Supply of 360 degrees nozzles</t>
  </si>
  <si>
    <t>Supply of Actuators</t>
  </si>
  <si>
    <t>Kgs</t>
  </si>
  <si>
    <t>Supply of cylinders with NOVEC1230 or equivalent GAS</t>
  </si>
  <si>
    <t>Training on Sequence of Operating Procedure</t>
  </si>
  <si>
    <t>Installation of extinguishers</t>
  </si>
  <si>
    <t>Supply of wall mount brackets</t>
  </si>
  <si>
    <t>Supply of clean agent cylinders</t>
  </si>
  <si>
    <t xml:space="preserve">Knowledge transfer regarding operation &amp; Maintenance of FAS &amp; VESDA through staff training. </t>
  </si>
  <si>
    <t xml:space="preserve">Three years Warranty support from Local dealers of OEMs </t>
  </si>
  <si>
    <t>Supply of sampling points</t>
  </si>
  <si>
    <t>Supply of Conduit for VESDA panel with supports</t>
  </si>
  <si>
    <t>`1</t>
  </si>
  <si>
    <t>Supply of VESDA panel</t>
  </si>
  <si>
    <t>Supply of response indicators</t>
  </si>
  <si>
    <t>Supply of Monitor modules</t>
  </si>
  <si>
    <t>Supply of Relay or control modules</t>
  </si>
  <si>
    <t>Supply of Hooter cum strobes</t>
  </si>
  <si>
    <t>Supply of Manual Call Points</t>
  </si>
  <si>
    <t>Supply of Multi criteria sensors</t>
  </si>
  <si>
    <t>Supply of Fire Alarm Panel with loop card</t>
  </si>
  <si>
    <t xml:space="preserve">Knowledge transfer regarding operation &amp; Maintenance of ACs through staff training. </t>
  </si>
  <si>
    <t>Installation, testing and commissioning of comfort AC system</t>
  </si>
  <si>
    <t>Supply of drain water outlet pipes with necessary valves and bends</t>
  </si>
  <si>
    <t>Supply of outdoor unit stands</t>
  </si>
  <si>
    <t>Refrigerent Gas</t>
  </si>
  <si>
    <t>Supply of Insulation for copper piping</t>
  </si>
  <si>
    <t>Supply of Copper piping with supports</t>
  </si>
  <si>
    <t>Supply of Indoor (High wall unit/Cassette units) and Outdoor units</t>
  </si>
  <si>
    <t xml:space="preserve">Knowledge transfer regarding operation &amp; Maintenance of IRCs through staff training. </t>
  </si>
  <si>
    <t>Installation, testing and commissioning of IRCs</t>
  </si>
  <si>
    <t>years</t>
  </si>
  <si>
    <t xml:space="preserve">200ltrs PVC tank for soft water storage for PACs with valves </t>
  </si>
  <si>
    <t>Supply of Soft water inlet pipes with necessary valves and bends</t>
  </si>
  <si>
    <t>Supply of Insulation for the copper piping</t>
  </si>
  <si>
    <t>Supply of Outdoor unit stands</t>
  </si>
  <si>
    <t>Supply of copper piping</t>
  </si>
  <si>
    <t>Refrigerant Gas</t>
  </si>
  <si>
    <t>Supply of inrow cooling units 25kW with dual power input with inbuilt sequencing capability and BMS interface</t>
  </si>
  <si>
    <t>Labelling of sockets</t>
  </si>
  <si>
    <t>Installation/termination of Mobile industrial sockets</t>
  </si>
  <si>
    <t xml:space="preserve">Supply of Mobile industrial plugs &amp; sockets </t>
  </si>
  <si>
    <t>Installation of above mentioned equipment</t>
  </si>
  <si>
    <t>Supply of termination Lugs &amp; glands</t>
  </si>
  <si>
    <t>Supply of Conduits, couplers and saddles</t>
  </si>
  <si>
    <t>Supply of Back boxes for switch and sockets</t>
  </si>
  <si>
    <t>Supply of Switches and Sockets</t>
  </si>
  <si>
    <t>Supply of cable trays/raceways and its support system</t>
  </si>
  <si>
    <t>Cabling between HVAC panel to each AC unit</t>
  </si>
  <si>
    <t xml:space="preserve">Cabling between each UPS outgoing panel to Each IT rack </t>
  </si>
  <si>
    <t>Cabling between LT panels to all DBs</t>
  </si>
  <si>
    <t>Cabling between LT panels and HVAC panel</t>
  </si>
  <si>
    <t>Cabling between UPS-2 to UPS outgoing panel-2</t>
  </si>
  <si>
    <t>Cabling between UPS-1 to UPS outgoing panel-1</t>
  </si>
  <si>
    <t>Cabling between LT panel-1 to UPS-1 and LT panel-2 to UPS-2</t>
  </si>
  <si>
    <t>Cabling between isolators and LT panels</t>
  </si>
  <si>
    <t>Cabling between Utility and isolator</t>
  </si>
  <si>
    <t>Cabling between DG set and isolator</t>
  </si>
  <si>
    <t>Supply of Electrical cabling as mentioned below:</t>
  </si>
  <si>
    <t>Supply of First aid kit</t>
  </si>
  <si>
    <t>Supply of rubber hand gloves and shock resistance shoes for operators</t>
  </si>
  <si>
    <t>Supply of electrical SLD, Do's and Don'ts  and safety charts</t>
  </si>
  <si>
    <t>Supply of Rubber mats for electrical panels</t>
  </si>
  <si>
    <t xml:space="preserve">Knowledge transfer regarding operation &amp; Maintenance of earthpits through staff training. </t>
  </si>
  <si>
    <t>Performing Earth resistance test</t>
  </si>
  <si>
    <t>Grid earthipit connection</t>
  </si>
  <si>
    <t>Connecting the field equipment to earthipits</t>
  </si>
  <si>
    <t>Filling the chemical in pit with copper rods</t>
  </si>
  <si>
    <t>Digging of earth pits</t>
  </si>
  <si>
    <t>Supply of sleev cover for copper strips</t>
  </si>
  <si>
    <t>Supply of GI strips</t>
  </si>
  <si>
    <t>Supply of Copper strips</t>
  </si>
  <si>
    <t>Packets</t>
  </si>
  <si>
    <t>Supply of Earthing chemical</t>
  </si>
  <si>
    <t>Supply of copper earth rods</t>
  </si>
  <si>
    <t>Istallation,testing and commissioning of lighting system includes chipping works</t>
  </si>
  <si>
    <t>Supply of motion detection sensors</t>
  </si>
  <si>
    <t xml:space="preserve">Supply of cables and conduits (considering 4 lights per circuit) </t>
  </si>
  <si>
    <t>Supply of supports for lighting fixtures</t>
  </si>
  <si>
    <t>Supply of LED light fixtures as per lux levels required</t>
  </si>
  <si>
    <t xml:space="preserve">Knowledge transfer regarding operation &amp; Maintenance of Electrical panels through staff training. </t>
  </si>
  <si>
    <t>Installation, testing and commissioning of elecrical panels</t>
  </si>
  <si>
    <t>Supply of UPS power DBs</t>
  </si>
  <si>
    <t>Supply of Raw power DBs</t>
  </si>
  <si>
    <t>Supply of ATS for Raw power DB</t>
  </si>
  <si>
    <t>Supply of UPS outgoing panels with circuit breakers for individual IT racks</t>
  </si>
  <si>
    <t>Supply of LT panels with inbuilt ATS, circuit breakers , energy meters,TVSS and space heaters</t>
  </si>
  <si>
    <t>Set.</t>
  </si>
  <si>
    <t>Supply of Isolator panel</t>
  </si>
  <si>
    <t xml:space="preserve">Knowledge transfer regarding operation &amp; Maintenance of UPS  through staff training. </t>
  </si>
  <si>
    <t>Installation, testing and commissioning of UPS system</t>
  </si>
  <si>
    <t>Supply of battery racks</t>
  </si>
  <si>
    <t>Supply of Cabling between UPS and Batteries</t>
  </si>
  <si>
    <t>Supply of battery circuit breakers</t>
  </si>
  <si>
    <t>Supply of VRLA Batteries for 15mins backup with inter connectiving cables between batteries</t>
  </si>
  <si>
    <r>
      <t xml:space="preserve">Supply of 3 phase in-line UPS with </t>
    </r>
    <r>
      <rPr>
        <sz val="11"/>
        <rFont val="Aptos Narrow"/>
        <family val="2"/>
      </rPr>
      <t>≥</t>
    </r>
    <r>
      <rPr>
        <sz val="11"/>
        <rFont val="Calibri"/>
        <family val="2"/>
      </rPr>
      <t xml:space="preserve">0.96PF </t>
    </r>
  </si>
  <si>
    <t>Supply and fixing Signages for DG Area</t>
  </si>
  <si>
    <t xml:space="preserve">Knowledge transfer regarding operation &amp; Maintenance of DG Set through staff training. </t>
  </si>
  <si>
    <t>Ltrs</t>
  </si>
  <si>
    <t>Diesel consumption during testing and commissioning.</t>
  </si>
  <si>
    <t xml:space="preserve">Re-assembling  with silencer and exhaust pipes, Installation and commissioning of DG set at Site. </t>
  </si>
  <si>
    <t>Supply of DG from India in packaged with AMF panel</t>
  </si>
  <si>
    <t>Supply and installation of laminated worktable &amp; chair for staging room</t>
  </si>
  <si>
    <t>Supply and installation of furniture (console desk with storage space for PC/workstation and meadium back chairs) for NOC room</t>
  </si>
  <si>
    <t xml:space="preserve">Clearing and cleaning of sites periodically and on completion of civil works which includes dumping of debris as per local norms. 
</t>
  </si>
  <si>
    <t>Arrangements for Environments and Health safety, Personal Protective Equipment as per local norms.</t>
  </si>
  <si>
    <t>Cut-out on the partition walls for cable trays and it’s closures after laying the cables and copper pipes.</t>
  </si>
  <si>
    <t>Restoration of surrounding area tiles after earthing and cabling works.</t>
  </si>
  <si>
    <t>MS framing works for stacking of Outdoor AC units.</t>
  </si>
  <si>
    <t>Construction of Platforms for outdoor Units of Air conditioning system.</t>
  </si>
  <si>
    <t xml:space="preserve">Restoring the Roads after road cutting for underground cables.  </t>
  </si>
  <si>
    <t>Manholes for the Underground cable paths.</t>
  </si>
  <si>
    <t xml:space="preserve">Laying of Hume pipes across road for cabling works </t>
  </si>
  <si>
    <t>Supplying and Fixing of Foundation Plate / Logos</t>
  </si>
  <si>
    <t xml:space="preserve">Supply , fixing of Signages for Doors and Rooms. </t>
  </si>
  <si>
    <t>Sft</t>
  </si>
  <si>
    <t>Supply Installation of Anti-static Vinyl flooring</t>
  </si>
  <si>
    <t xml:space="preserve">Supply and installation of approximate 8 feet height fire rated doors </t>
  </si>
  <si>
    <t>Closure of windows/Vents available in DC area</t>
  </si>
  <si>
    <t>Painting of all the partition walls and  newly constructed walls</t>
  </si>
  <si>
    <t>Covering of Drainage pipes inside the proposed server and Electrical Rooms</t>
  </si>
  <si>
    <t>Construction of Ramp cum Pathway to the DG Set for providing Trolley movement up to DG Belly/ Skid tank.</t>
  </si>
  <si>
    <t>Anti-termite treatment for the wall and floors of the Data Center.</t>
  </si>
  <si>
    <t>Construction of partition walls and Brick work and plastering for closing the Windows</t>
  </si>
  <si>
    <t>Demolition works : Existing walls, Roads, Lightings , Window Grills, Doors, Vents, etc. Also include removal and dumping of debris as per local norms.</t>
  </si>
  <si>
    <t>Supply, installation, testing and commissioning of comfort air conditioning system for Battery Room, Telco Room, Staging Room, Electrical Room and NOC</t>
  </si>
  <si>
    <t xml:space="preserve">Supply, installation, testing and commissioning of 60kVA UPS : </t>
  </si>
  <si>
    <t xml:space="preserve">Supply, installation, testing and commissioning of Electrical Panels : </t>
  </si>
  <si>
    <t xml:space="preserve">Supply &amp; Installation of Containment for the 8 racks with doors : </t>
  </si>
  <si>
    <t xml:space="preserve">Supply, installation, testing and commissioning of Inrow Cooling Units for the Server Room- 25kW </t>
  </si>
  <si>
    <t>Supply and installation of Cabling system for Data Centre including electrical switches and power sockets.</t>
  </si>
  <si>
    <t xml:space="preserve">Supply and installation of Mobile industrial sockets for IT racks. </t>
  </si>
  <si>
    <t>Non-IT Services for Data Center (Approximate Breakup )</t>
  </si>
  <si>
    <t>Construction of DG foundation for 160 kVA</t>
  </si>
  <si>
    <t>Additional Partition and Doors along with painting between two parts of the Server Hall.</t>
  </si>
  <si>
    <t>Supply, installation, testing and commissioning of 60 kVA UPS</t>
  </si>
  <si>
    <t>LS</t>
  </si>
  <si>
    <t xml:space="preserve">Solution :  In-row Cooling solution with 08 IT racks </t>
  </si>
  <si>
    <t xml:space="preserve">Supply, installation, testing and commissioning of comfort air conditioning system for  Battery Room, Telco Room, Electrical Room and NOC </t>
  </si>
  <si>
    <t>Supply, Installation, testing and commissioning of sequencers for ACs in Battery Room, Telco Room, Electrical Room</t>
  </si>
  <si>
    <t>Recommended Brands</t>
  </si>
  <si>
    <t xml:space="preserve">One On Site Engineer </t>
  </si>
  <si>
    <t>Design, Installation, Testing Commissioning</t>
  </si>
  <si>
    <t>Workstation PC with I7 processor, 16GB RAM and 1TB SSD, with 21 inch display</t>
  </si>
  <si>
    <t>3C3/R&amp;M</t>
  </si>
  <si>
    <t>Netrack/Vertiv</t>
  </si>
  <si>
    <t>Microsoft</t>
  </si>
  <si>
    <t>Redhat</t>
  </si>
  <si>
    <t>Open NMS/Zabbix</t>
  </si>
  <si>
    <t>Samsung/LG/Sony/Panasonic</t>
  </si>
  <si>
    <t>SI.No</t>
  </si>
  <si>
    <t xml:space="preserve">Activities </t>
  </si>
  <si>
    <t>High-level assessment of whether the application can run in the new environment</t>
  </si>
  <si>
    <t>Providing documentation or best practices for the migration</t>
  </si>
  <si>
    <t>Basic Compatibility Checks</t>
  </si>
  <si>
    <t>Troubleshooting Assistance - Limited</t>
  </si>
  <si>
    <t>Helping identify infrastructure-related issues if the application doesn’t work post-migration</t>
  </si>
  <si>
    <t>Logs or error message analysis (without debugging the app itself)</t>
  </si>
  <si>
    <t>Best-Effort Guidance</t>
  </si>
  <si>
    <t>Answering queries related to migration approaches</t>
  </si>
  <si>
    <t>Referring to third-party documentation or experts</t>
  </si>
  <si>
    <t>Data Migration Assitance - Limited</t>
  </si>
  <si>
    <t>No rewriting or refactoring of application code</t>
  </si>
  <si>
    <t>No debugging or fixing of application-related issues.</t>
  </si>
  <si>
    <t>No direct migration or installation of the application</t>
  </si>
  <si>
    <t xml:space="preserve">No direct migration or installation of the database </t>
  </si>
  <si>
    <t xml:space="preserve">Infrastructure setup and provisioning </t>
  </si>
  <si>
    <t xml:space="preserve"> RailTel will provide only support during the migration activity . However the Migration activity will be done by MoFA team and any compatibility issue will be the responsibilty of MoFA.  Support related to migrations is  mentioned in the Migration support sheet</t>
  </si>
  <si>
    <t xml:space="preserve">Supply, installation, testing and commissioning of Data Center IT infrastructure </t>
  </si>
  <si>
    <t>Supply, installation, testing and commissioning of Data Center non-IT infrastructure</t>
  </si>
  <si>
    <t>Freight &amp; Insurance (for A and B)</t>
  </si>
  <si>
    <r>
      <rPr>
        <b/>
        <sz val="10"/>
        <rFont val="Calibri"/>
        <family val="2"/>
      </rPr>
      <t>1.</t>
    </r>
    <r>
      <rPr>
        <sz val="10"/>
        <rFont val="Calibri"/>
        <family val="2"/>
      </rPr>
      <t xml:space="preserve">Prices are exclusive of all applicable taxes in India. The same will be charged seperately as per actuals. </t>
    </r>
  </si>
  <si>
    <r>
      <rPr>
        <b/>
        <sz val="10"/>
        <rFont val="Calibri"/>
        <family val="2"/>
      </rPr>
      <t>2.</t>
    </r>
    <r>
      <rPr>
        <sz val="10"/>
        <rFont val="Calibri"/>
        <family val="2"/>
      </rPr>
      <t xml:space="preserve"> The Prices are FOB Indian Port. Freight costs are mentioned separately for transportation by SEA. However, MEA need to provide all necessary documentation to facilitate export of these items. The local taxes and duties will be paid by MEA directly.</t>
    </r>
  </si>
  <si>
    <r>
      <rPr>
        <b/>
        <sz val="10"/>
        <rFont val="Calibri"/>
        <family val="2"/>
      </rPr>
      <t>3.</t>
    </r>
    <r>
      <rPr>
        <sz val="10"/>
        <rFont val="Calibri"/>
        <family val="2"/>
      </rPr>
      <t xml:space="preserve"> All invoices will be done to MEA, India inclusive of GST.</t>
    </r>
  </si>
  <si>
    <r>
      <rPr>
        <b/>
        <sz val="10"/>
        <rFont val="Calibri"/>
        <family val="2"/>
      </rPr>
      <t xml:space="preserve">4. </t>
    </r>
    <r>
      <rPr>
        <sz val="10"/>
        <rFont val="Calibri"/>
        <family val="2"/>
      </rPr>
      <t xml:space="preserve">MEA shall provide all customs exemption document whatever applicable / requested by Freight forwarder and local customs authorities as per International rules and regulations. </t>
    </r>
  </si>
  <si>
    <r>
      <rPr>
        <b/>
        <sz val="10"/>
        <rFont val="Calibri"/>
        <family val="2"/>
      </rPr>
      <t>5.</t>
    </r>
    <r>
      <rPr>
        <sz val="10"/>
        <rFont val="Calibri"/>
        <family val="2"/>
      </rPr>
      <t xml:space="preserve"> Any local duties and taxes applicable at the transit / destination port will be paid on actuals by MEA. Should there be any details sought by the Ethiopian customs, MEA shall facilitate the discussion by sending local personnel as required to meet the authority.</t>
    </r>
  </si>
  <si>
    <r>
      <t xml:space="preserve">Comprehensive support for 3 years shall be given for all quoted items under RailTel's scope of supply. Make In India products do not carry international warranty as the distribution zones are still not established in international waters. For parts failures, Railtel undertakes to replace the items at its cost. </t>
    </r>
    <r>
      <rPr>
        <b/>
        <sz val="10"/>
        <rFont val="Calibri"/>
        <family val="2"/>
      </rPr>
      <t>However, MEA shall facilitate in the transportation of spares and customs exemption in such scenario.</t>
    </r>
  </si>
  <si>
    <r>
      <rPr>
        <b/>
        <sz val="10"/>
        <rFont val="Calibri"/>
        <family val="2"/>
      </rPr>
      <t>6.</t>
    </r>
    <r>
      <rPr>
        <sz val="10"/>
        <rFont val="Calibri"/>
        <family val="2"/>
      </rPr>
      <t xml:space="preserve"> MEA shall facilitate all visa and work permit for RailTel and its designated contractors through the project.</t>
    </r>
  </si>
  <si>
    <r>
      <rPr>
        <b/>
        <sz val="10"/>
        <rFont val="Calibri"/>
        <family val="2"/>
      </rPr>
      <t>1.</t>
    </r>
    <r>
      <rPr>
        <sz val="10"/>
        <rFont val="Calibri"/>
        <family val="2"/>
      </rPr>
      <t xml:space="preserve"> MoFA Ethiopia will share their project plan for those activities which are entrusted to them like Civil, Electrical, Comfort cooling etc</t>
    </r>
    <r>
      <rPr>
        <b/>
        <sz val="10"/>
        <rFont val="Calibri"/>
        <family val="2"/>
      </rPr>
      <t>.</t>
    </r>
    <r>
      <rPr>
        <sz val="10"/>
        <rFont val="Calibri"/>
        <family val="2"/>
      </rPr>
      <t xml:space="preserve"> Based on their projcect plan RailTel will plan its resources, deliveries of various items and installation.</t>
    </r>
    <r>
      <rPr>
        <b/>
        <sz val="10"/>
        <rFont val="Calibri"/>
        <family val="2"/>
      </rPr>
      <t xml:space="preserve"> </t>
    </r>
    <r>
      <rPr>
        <sz val="10"/>
        <rFont val="Calibri"/>
        <family val="2"/>
      </rPr>
      <t xml:space="preserve">Accordingly, </t>
    </r>
    <r>
      <rPr>
        <b/>
        <sz val="10"/>
        <rFont val="Calibri"/>
        <family val="2"/>
      </rPr>
      <t>t</t>
    </r>
    <r>
      <rPr>
        <sz val="10"/>
        <rFont val="Calibri"/>
        <family val="2"/>
      </rPr>
      <t xml:space="preserve">he deliveries will be done within 30 days from the date of site rediness by MoFA//Ethiopia as per RailTel's satisfaction. </t>
    </r>
    <r>
      <rPr>
        <b/>
        <sz val="10"/>
        <rFont val="Calibri"/>
        <family val="2"/>
      </rPr>
      <t xml:space="preserve">
2. </t>
    </r>
    <r>
      <rPr>
        <sz val="10"/>
        <rFont val="Calibri"/>
        <family val="2"/>
      </rPr>
      <t xml:space="preserve">Project shall be completed within 4 months from the date of receipt of goods at the destination or site rediness in terms of civil and Elctrical Infrastracture by MoFA Ethiopia whichever is later. 
</t>
    </r>
    <r>
      <rPr>
        <b/>
        <sz val="10"/>
        <rFont val="Calibri"/>
        <family val="2"/>
      </rPr>
      <t xml:space="preserve">3. </t>
    </r>
    <r>
      <rPr>
        <sz val="10"/>
        <rFont val="Calibri"/>
        <family val="2"/>
      </rPr>
      <t xml:space="preserve">Any delay arising due to freight movements in international water or geo-political disturbances or site non-availability or local workmanship disturbances or situations beyond our ability to influence shall call for delay in execution of the project. 
</t>
    </r>
    <r>
      <rPr>
        <b/>
        <sz val="10"/>
        <rFont val="Calibri"/>
        <family val="2"/>
      </rPr>
      <t>4.</t>
    </r>
    <r>
      <rPr>
        <sz val="10"/>
        <rFont val="Calibri"/>
        <family val="2"/>
      </rPr>
      <t xml:space="preserve"> Railtel shall not be held accountable for delays attributed beyond its capacity.</t>
    </r>
  </si>
  <si>
    <t>Probable OEM</t>
  </si>
  <si>
    <t xml:space="preserve">24px1G/ 4x10G Uplink with 36 Months Service &amp; Support with 2 LR optics </t>
  </si>
  <si>
    <r>
      <rPr>
        <sz val="12"/>
        <rFont val="Times New Roman"/>
        <family val="1"/>
      </rPr>
      <t>WAN</t>
    </r>
    <r>
      <rPr>
        <b/>
        <sz val="12"/>
        <color rgb="FFFF0000"/>
        <rFont val="Times New Roman"/>
        <family val="1"/>
      </rPr>
      <t xml:space="preserve"> </t>
    </r>
    <r>
      <rPr>
        <sz val="12"/>
        <color rgb="FF000000"/>
        <rFont val="Times New Roman"/>
        <family val="1"/>
      </rPr>
      <t xml:space="preserve">Switch </t>
    </r>
  </si>
  <si>
    <r>
      <t>Design, Installation, testing,  commissioning and documentation of</t>
    </r>
    <r>
      <rPr>
        <sz val="12"/>
        <color rgb="FFFF0000"/>
        <rFont val="Times New Roman"/>
        <family val="1"/>
      </rPr>
      <t xml:space="preserve"> </t>
    </r>
    <r>
      <rPr>
        <sz val="12"/>
        <rFont val="Times New Roman"/>
        <family val="1"/>
      </rPr>
      <t xml:space="preserve">each subsystem </t>
    </r>
  </si>
  <si>
    <t xml:space="preserve">Supply, installation, testing and commissioning of Gas based fire suppression system (NOVEC1230 or Equivalent for Server Room) 
</t>
  </si>
  <si>
    <t xml:space="preserve">Philips/Syska/Wipro etc. </t>
  </si>
  <si>
    <t>This item is to be procured by MoFA/Ethiopia. Preferred Brands: Vertiv/Legrand or similar reputed make.</t>
  </si>
  <si>
    <t>Reputed Indian make</t>
  </si>
  <si>
    <t>Make in India Vertiv/Clima veneta or similar reputed make.</t>
  </si>
  <si>
    <t>This item is to be procured by MoFA/Ethiopia</t>
  </si>
  <si>
    <t>Two Offsite L2 Engineers for different domains (Cloud, Network &amp; Security)</t>
  </si>
  <si>
    <t>Offsite Support through Shared L2 Engineers</t>
  </si>
  <si>
    <t xml:space="preserve">Migration Assistance Related Activities </t>
  </si>
  <si>
    <t>Facilitate to setup cloud or on-premises environments (servers, networking, storage)</t>
  </si>
  <si>
    <t xml:space="preserve">Sizing VM Details based on existing infrastructure </t>
  </si>
  <si>
    <t>Guidance on transferring databases, files or configurations.</t>
  </si>
  <si>
    <t>Providing recommendations for data migration tools. However the tools will be arranged by MoFA/Ethiopia</t>
  </si>
  <si>
    <t>No OS related support based on application requirement</t>
  </si>
  <si>
    <t>IT Services for Data Center</t>
  </si>
  <si>
    <t>Activities Not Considered under RailTel's Scope</t>
  </si>
  <si>
    <t xml:space="preserve">Civil and Interior works comprising of demolition works, construction of partition walls, Supply and installation of Fire rated doors, installation of vinyl flooring, DG foundation and miscellaneous works. </t>
  </si>
  <si>
    <t>Make in India with reputed Switchgear elements</t>
  </si>
  <si>
    <t xml:space="preserve">Protection Against Viruses and trojans
Spyware and rootkits
</t>
  </si>
  <si>
    <t xml:space="preserve">8 Server Room IT racks </t>
  </si>
  <si>
    <t>Manpower Support for 3 Years (Onsite)</t>
  </si>
  <si>
    <t>Manpower Support for 3 Years (Offsite)</t>
  </si>
  <si>
    <t xml:space="preserve">Project Manager </t>
  </si>
  <si>
    <t xml:space="preserve">NON-IT Expert </t>
  </si>
  <si>
    <t xml:space="preserve">Implementation/Solution Lead </t>
  </si>
  <si>
    <t xml:space="preserve">Compute Expert </t>
  </si>
  <si>
    <t xml:space="preserve">Months </t>
  </si>
  <si>
    <t>Unit Price</t>
  </si>
  <si>
    <t xml:space="preserve">Total Price </t>
  </si>
  <si>
    <t xml:space="preserve">Network &amp; Security expert </t>
  </si>
  <si>
    <t xml:space="preserve">NON-IT Consultant </t>
  </si>
  <si>
    <t xml:space="preserve">Resources </t>
  </si>
  <si>
    <t xml:space="preserve">Engineers  </t>
  </si>
  <si>
    <t xml:space="preserve">Total Manmonths </t>
  </si>
  <si>
    <t>Travel cost (15 Visits)</t>
  </si>
  <si>
    <t>Salary with Insurance</t>
  </si>
  <si>
    <t>Total cost during implementation</t>
  </si>
  <si>
    <t>Accomadation , Local Travel,  Food Expenses (50 Man Months)</t>
  </si>
  <si>
    <t>2 x 16 Core Processor,  512 GB RAM, 20TB SSD (60TB SSD Usable capacity across the all 6 nodes)</t>
  </si>
  <si>
    <t xml:space="preserve">HPE/Nutanix </t>
  </si>
  <si>
    <t>Total Cost Price</t>
  </si>
  <si>
    <t xml:space="preserve">Nutanix </t>
  </si>
  <si>
    <t>NetAPP</t>
  </si>
  <si>
    <t>Fortinet</t>
  </si>
  <si>
    <t xml:space="preserve">Seqrite </t>
  </si>
  <si>
    <t xml:space="preserve">Veeam  - 50 VMs </t>
  </si>
  <si>
    <t xml:space="preserve">Arista </t>
  </si>
  <si>
    <t>HPI</t>
  </si>
  <si>
    <t xml:space="preserve">Total Cost for three years </t>
  </si>
  <si>
    <t xml:space="preserve">Monthly Salary and perdiem/other cost </t>
  </si>
  <si>
    <t xml:space="preserve">Unit Cost Ptice </t>
  </si>
  <si>
    <t xml:space="preserve">Risks </t>
  </si>
  <si>
    <t>Discovered Prices</t>
  </si>
  <si>
    <t xml:space="preserve">Total </t>
  </si>
  <si>
    <t xml:space="preserve">Misc Cost </t>
  </si>
  <si>
    <t>Margin</t>
  </si>
  <si>
    <t>Net Margin Amount</t>
  </si>
  <si>
    <t>Sale Value</t>
  </si>
  <si>
    <t>Cost Price</t>
  </si>
  <si>
    <t>Customer payment terms</t>
  </si>
  <si>
    <t xml:space="preserve">OEM Payment terms </t>
  </si>
  <si>
    <t xml:space="preserve">120 Days </t>
  </si>
  <si>
    <t>Interest</t>
  </si>
  <si>
    <t>Financial Year</t>
  </si>
  <si>
    <t>Month</t>
  </si>
  <si>
    <t>Cash Inflow</t>
  </si>
  <si>
    <t>Cash outflow</t>
  </si>
  <si>
    <t xml:space="preserve">Net Cash Flow </t>
  </si>
  <si>
    <t>Total Inflow</t>
  </si>
  <si>
    <t>FY</t>
  </si>
  <si>
    <t>Total Outflow</t>
  </si>
  <si>
    <t>Nett Cash</t>
  </si>
  <si>
    <t xml:space="preserve">Interest </t>
  </si>
  <si>
    <t>Feb-26</t>
  </si>
  <si>
    <t>Mar-26</t>
  </si>
  <si>
    <t>Apr-26</t>
  </si>
  <si>
    <t>May-26</t>
  </si>
  <si>
    <t>Jun-26</t>
  </si>
  <si>
    <t xml:space="preserve">30% Advance, 40% Delivery, 25% Against Completion, 5% after DLP period 1 years </t>
  </si>
  <si>
    <t>IT</t>
  </si>
  <si>
    <t xml:space="preserve">Non-IT </t>
  </si>
  <si>
    <t xml:space="preserve">Capex Payment Terms </t>
  </si>
  <si>
    <t xml:space="preserve">Opex Payment Terms </t>
  </si>
  <si>
    <t xml:space="preserve">IT </t>
  </si>
  <si>
    <t>NON-IT</t>
  </si>
  <si>
    <t>Capex</t>
  </si>
  <si>
    <t>Opex</t>
  </si>
  <si>
    <t xml:space="preserve">Implementation &amp; PMC </t>
  </si>
  <si>
    <t>Capex BG Cost for 2 years - 3%</t>
  </si>
  <si>
    <t>ABG Cost (30% for 6 months)</t>
  </si>
  <si>
    <t>6 months advance, 6 months in arrears</t>
  </si>
  <si>
    <t>O&amp;M PG Cost - 10% of year with 3 years, 3 months</t>
  </si>
  <si>
    <t xml:space="preserve">Misc cost </t>
  </si>
  <si>
    <t xml:space="preserve">Frieght </t>
  </si>
  <si>
    <t>Total Cost with Interest</t>
  </si>
  <si>
    <t>Net Margin amount</t>
  </si>
  <si>
    <t xml:space="preserve">Opex Cost </t>
  </si>
  <si>
    <t>Against delivery</t>
  </si>
  <si>
    <t>Hybrid Operation &amp; Maintenance support for 3 years</t>
  </si>
  <si>
    <t>D</t>
  </si>
  <si>
    <t>Total of A to D</t>
  </si>
  <si>
    <t xml:space="preserve">Grand Total </t>
  </si>
  <si>
    <t>Risk Cost - NON-IT/Insurance/PM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</si>
</sst>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quot;₹&quot;\ * #,##0.00_ ;_ &quot;₹&quot;\ * \-#,##0.00_ ;_ &quot;₹&quot;\ * &quot;-&quot;??_ ;_ @_ "/>
    <numFmt numFmtId="165" formatCode="_ * #,##0.00_ ;_ * \-#,##0.00_ ;_ * &quot;-&quot;??_ ;_ @_ "/>
    <numFmt numFmtId="166" formatCode="_ &quot;₹&quot;\ * #,##0_ ;_ &quot;₹&quot;\ * \-#,##0_ ;_ &quot;₹&quot;\ * &quot;-&quot;??_ ;_ @_ "/>
    <numFmt numFmtId="167" formatCode="_(* #,##0_);_(* \(#,##0\);_(* &quot;-&quot;??_);_(@_)"/>
    <numFmt numFmtId="168" formatCode="_ [$₹-4009]\ * #,##0_ ;_ [$₹-4009]\ * \-#,##0_ ;_ [$₹-4009]\ * &quot;-&quot;??_ ;_ @_ "/>
    <numFmt numFmtId="169" formatCode="_ [$₹-4009]\ * #,##0.00_ ;_ [$₹-4009]\ * \-#,##0.00_ ;_ [$₹-4009]\ * &quot;-&quot;??_ ;_ @_ "/>
    <numFmt numFmtId="170" formatCode="_(&quot;₹&quot;* #,##0_);_(&quot;₹&quot;* \(#,##0\);_(&quot;₹&quot;* &quot;-&quot;??_);_(@_)"/>
    <numFmt numFmtId="171" formatCode="_ * #,##0_ ;_ * \-#,##0_ ;_ * &quot;-&quot;??_ ;_ @_ "/>
    <numFmt numFmtId="172" formatCode="_ * #,##0.000_ ;_ * \-#,##0.000_ ;_ * &quot;-&quot;??_ ;_ @_ "/>
    <numFmt numFmtId="173" formatCode="_ * #,##0.000_ ;_ * \-#,##0.000_ ;_ * &quot;-&quot;???_ ;_ @_ "/>
  </numFmts>
  <fonts count="33"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b/>
      <sz val="11"/>
      <color rgb="FF000000"/>
      <name val="Calibri"/>
      <family val="2"/>
    </font>
    <font>
      <sz val="11"/>
      <name val="Calibri"/>
      <family val="2"/>
    </font>
    <font>
      <b/>
      <sz val="14"/>
      <color theme="1"/>
      <name val="Aptos Narrow"/>
      <family val="2"/>
      <scheme val="minor"/>
    </font>
    <font>
      <sz val="11"/>
      <color theme="1"/>
      <name val="Calibri"/>
      <family val="2"/>
    </font>
    <font>
      <sz val="11"/>
      <color rgb="FFFF0000"/>
      <name val="Calibri"/>
      <family val="2"/>
    </font>
    <font>
      <b/>
      <sz val="12"/>
      <color theme="1"/>
      <name val="Times New Roman"/>
      <family val="1"/>
    </font>
    <font>
      <sz val="12"/>
      <color theme="1"/>
      <name val="Times New Roman"/>
      <family val="1"/>
    </font>
    <font>
      <b/>
      <u/>
      <sz val="12"/>
      <color rgb="FF000000"/>
      <name val="Times New Roman"/>
      <family val="1"/>
    </font>
    <font>
      <b/>
      <sz val="12"/>
      <color rgb="FF000000"/>
      <name val="Times New Roman"/>
      <family val="1"/>
    </font>
    <font>
      <sz val="12"/>
      <color rgb="FF000000"/>
      <name val="Times New Roman"/>
      <family val="1"/>
    </font>
    <font>
      <sz val="12"/>
      <color rgb="FFFF0000"/>
      <name val="Times New Roman"/>
      <family val="1"/>
    </font>
    <font>
      <sz val="12"/>
      <name val="Times New Roman"/>
      <family val="1"/>
    </font>
    <font>
      <b/>
      <sz val="11"/>
      <name val="Calibri"/>
      <family val="2"/>
    </font>
    <font>
      <sz val="11"/>
      <name val="Aptos Narrow"/>
      <family val="2"/>
    </font>
    <font>
      <b/>
      <sz val="12"/>
      <color rgb="FFFF0000"/>
      <name val="Times New Roman"/>
      <family val="1"/>
    </font>
    <font>
      <b/>
      <u/>
      <sz val="11"/>
      <color theme="1"/>
      <name val="Aptos Narrow"/>
      <scheme val="minor"/>
    </font>
    <font>
      <sz val="11"/>
      <color theme="0"/>
      <name val="Aptos Narrow"/>
      <family val="2"/>
      <scheme val="minor"/>
    </font>
    <font>
      <b/>
      <sz val="11"/>
      <color theme="0"/>
      <name val="Calibri"/>
      <family val="2"/>
    </font>
    <font>
      <b/>
      <sz val="10"/>
      <name val="Calibri"/>
      <family val="2"/>
    </font>
    <font>
      <sz val="10"/>
      <name val="Calibri"/>
      <family val="2"/>
    </font>
    <font>
      <b/>
      <sz val="14"/>
      <name val="Aptos Narrow"/>
      <family val="2"/>
      <scheme val="minor"/>
    </font>
    <font>
      <sz val="11"/>
      <name val="Aptos Narrow"/>
      <family val="2"/>
      <scheme val="minor"/>
    </font>
    <font>
      <b/>
      <sz val="11"/>
      <name val="Aptos Narrow"/>
      <family val="2"/>
      <scheme val="minor"/>
    </font>
    <font>
      <b/>
      <u/>
      <sz val="11"/>
      <color theme="1"/>
      <name val="Aptos Narrow"/>
      <family val="2"/>
      <scheme val="minor"/>
    </font>
    <font>
      <sz val="11"/>
      <color theme="0"/>
      <name val="Calibri"/>
      <family val="2"/>
    </font>
    <font>
      <sz val="8"/>
      <name val="Aptos Narrow"/>
      <family val="2"/>
      <scheme val="minor"/>
    </font>
    <font>
      <sz val="11"/>
      <color theme="1"/>
      <name val="Aptos Narrow"/>
      <scheme val="minor"/>
    </font>
    <font>
      <b/>
      <sz val="11"/>
      <color theme="1"/>
      <name val="Aptos Narrow"/>
      <scheme val="minor"/>
    </font>
    <font>
      <b/>
      <u val="singleAccounting"/>
      <sz val="11"/>
      <color theme="1"/>
      <name val="Aptos Narrow"/>
      <scheme val="minor"/>
    </font>
  </fonts>
  <fills count="14">
    <fill>
      <patternFill patternType="none"/>
    </fill>
    <fill>
      <patternFill patternType="gray125"/>
    </fill>
    <fill>
      <patternFill patternType="solid">
        <fgColor rgb="FFDEEAF6"/>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79998168889431442"/>
        <bgColor indexed="64"/>
      </patternFill>
    </fill>
    <fill>
      <patternFill patternType="solid">
        <fgColor rgb="FF00206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s>
  <cellStyleXfs count="5">
    <xf numFmtId="0" fontId="0"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cellStyleXfs>
  <cellXfs count="192">
    <xf numFmtId="0" fontId="0" fillId="0" borderId="0" xfId="0"/>
    <xf numFmtId="0" fontId="0" fillId="0" borderId="0" xfId="0" applyAlignment="1">
      <alignment horizontal="center" vertical="center"/>
    </xf>
    <xf numFmtId="0" fontId="5" fillId="0" borderId="1" xfId="0" applyFont="1" applyBorder="1" applyAlignment="1">
      <alignment vertical="top" wrapText="1"/>
    </xf>
    <xf numFmtId="0" fontId="0" fillId="0" borderId="0" xfId="0" applyAlignment="1">
      <alignment vertical="top"/>
    </xf>
    <xf numFmtId="0" fontId="5" fillId="0" borderId="1" xfId="0" applyFont="1" applyBorder="1" applyAlignment="1">
      <alignment horizontal="center" vertical="top" wrapText="1"/>
    </xf>
    <xf numFmtId="0" fontId="2" fillId="4" borderId="1" xfId="0" applyFont="1" applyFill="1" applyBorder="1" applyAlignment="1">
      <alignment horizontal="center" vertical="top"/>
    </xf>
    <xf numFmtId="0" fontId="3" fillId="4" borderId="1" xfId="0" applyFont="1" applyFill="1" applyBorder="1" applyAlignment="1">
      <alignment horizontal="center" vertical="top" wrapText="1"/>
    </xf>
    <xf numFmtId="0" fontId="0" fillId="0" borderId="0" xfId="0" applyAlignment="1">
      <alignment horizontal="center" vertical="top"/>
    </xf>
    <xf numFmtId="166" fontId="0" fillId="0" borderId="0" xfId="1" applyNumberFormat="1" applyFont="1" applyAlignment="1">
      <alignment horizontal="left" vertical="top"/>
    </xf>
    <xf numFmtId="0" fontId="7" fillId="0" borderId="0" xfId="0" applyFont="1"/>
    <xf numFmtId="0" fontId="7" fillId="0" borderId="1" xfId="0" applyFont="1" applyBorder="1" applyAlignment="1">
      <alignment vertical="top" wrapText="1"/>
    </xf>
    <xf numFmtId="166" fontId="7" fillId="0" borderId="1" xfId="1" applyNumberFormat="1" applyFont="1" applyBorder="1" applyAlignment="1">
      <alignment horizontal="right" vertical="top"/>
    </xf>
    <xf numFmtId="0" fontId="6" fillId="0" borderId="1" xfId="0" applyFont="1" applyBorder="1" applyAlignment="1">
      <alignment vertical="top"/>
    </xf>
    <xf numFmtId="0" fontId="2" fillId="0" borderId="0" xfId="0" applyFont="1" applyAlignment="1">
      <alignment horizontal="center" vertical="top"/>
    </xf>
    <xf numFmtId="0" fontId="9" fillId="0" borderId="1" xfId="0" applyFont="1" applyBorder="1" applyAlignment="1">
      <alignment horizontal="center" vertical="center"/>
    </xf>
    <xf numFmtId="0" fontId="10" fillId="0" borderId="1" xfId="0" applyFont="1" applyBorder="1"/>
    <xf numFmtId="0" fontId="10" fillId="0" borderId="0" xfId="0" applyFont="1"/>
    <xf numFmtId="0" fontId="10" fillId="0" borderId="0" xfId="0" applyFont="1" applyAlignment="1">
      <alignment wrapText="1"/>
    </xf>
    <xf numFmtId="0" fontId="12" fillId="5" borderId="1" xfId="0" applyFont="1" applyFill="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justify" vertical="center" wrapText="1"/>
    </xf>
    <xf numFmtId="0" fontId="13" fillId="0" borderId="1" xfId="0" applyFont="1" applyBorder="1" applyAlignment="1">
      <alignment horizontal="center" vertical="center"/>
    </xf>
    <xf numFmtId="169" fontId="10" fillId="0" borderId="1" xfId="2" applyNumberFormat="1" applyFont="1" applyFill="1" applyBorder="1" applyAlignment="1">
      <alignment vertical="center"/>
    </xf>
    <xf numFmtId="0" fontId="13" fillId="0" borderId="1" xfId="0" applyFont="1" applyBorder="1" applyAlignment="1">
      <alignment horizontal="justify" vertical="top" wrapText="1"/>
    </xf>
    <xf numFmtId="0" fontId="13" fillId="0" borderId="1" xfId="0" applyFont="1" applyBorder="1" applyAlignment="1">
      <alignment horizontal="justify" vertical="justify" wrapText="1"/>
    </xf>
    <xf numFmtId="0" fontId="13"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169" fontId="12" fillId="6" borderId="1" xfId="2" applyNumberFormat="1" applyFont="1" applyFill="1" applyBorder="1" applyAlignment="1">
      <alignment horizontal="center" vertical="center"/>
    </xf>
    <xf numFmtId="0" fontId="10" fillId="0" borderId="0" xfId="0" applyFont="1" applyAlignment="1">
      <alignment horizontal="center" vertical="center"/>
    </xf>
    <xf numFmtId="167" fontId="10" fillId="0" borderId="0" xfId="0" applyNumberFormat="1" applyFont="1"/>
    <xf numFmtId="0" fontId="9" fillId="0" borderId="0" xfId="0" applyFont="1" applyAlignment="1">
      <alignment horizontal="center" vertical="center"/>
    </xf>
    <xf numFmtId="0" fontId="5" fillId="7" borderId="1" xfId="0" applyFont="1" applyFill="1" applyBorder="1" applyAlignment="1">
      <alignment vertical="top" wrapText="1"/>
    </xf>
    <xf numFmtId="0" fontId="3" fillId="0" borderId="4" xfId="0" applyFont="1" applyBorder="1" applyAlignment="1">
      <alignment horizontal="center" vertical="top"/>
    </xf>
    <xf numFmtId="0" fontId="0" fillId="0" borderId="1" xfId="0" applyBorder="1"/>
    <xf numFmtId="0" fontId="0" fillId="0" borderId="1" xfId="0" applyBorder="1" applyAlignment="1">
      <alignment wrapText="1"/>
    </xf>
    <xf numFmtId="0" fontId="13" fillId="8"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169" fontId="10" fillId="8" borderId="1" xfId="2" applyNumberFormat="1" applyFont="1" applyFill="1" applyBorder="1" applyAlignment="1">
      <alignment vertical="center"/>
    </xf>
    <xf numFmtId="0" fontId="5" fillId="8" borderId="1" xfId="0" applyFont="1" applyFill="1" applyBorder="1" applyAlignment="1">
      <alignment vertical="top" wrapText="1"/>
    </xf>
    <xf numFmtId="0" fontId="7" fillId="8" borderId="1" xfId="0" applyFont="1" applyFill="1" applyBorder="1" applyAlignment="1">
      <alignment vertical="top" wrapText="1"/>
    </xf>
    <xf numFmtId="166" fontId="7" fillId="8" borderId="1" xfId="1" applyNumberFormat="1" applyFont="1" applyFill="1" applyBorder="1" applyAlignment="1">
      <alignment horizontal="right" vertical="top"/>
    </xf>
    <xf numFmtId="166" fontId="5" fillId="0" borderId="1" xfId="1" applyNumberFormat="1" applyFont="1" applyBorder="1" applyAlignment="1">
      <alignment horizontal="right" vertical="top"/>
    </xf>
    <xf numFmtId="0" fontId="10" fillId="0" borderId="0" xfId="0" applyFont="1" applyAlignment="1">
      <alignment vertical="center"/>
    </xf>
    <xf numFmtId="169" fontId="10" fillId="0" borderId="1" xfId="0" applyNumberFormat="1" applyFont="1" applyBorder="1" applyAlignment="1">
      <alignment vertical="center" wrapText="1"/>
    </xf>
    <xf numFmtId="0" fontId="10" fillId="6"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center"/>
    </xf>
    <xf numFmtId="0" fontId="20" fillId="10" borderId="1" xfId="0" applyFont="1" applyFill="1" applyBorder="1" applyAlignment="1">
      <alignment horizontal="center"/>
    </xf>
    <xf numFmtId="0" fontId="21" fillId="10" borderId="1" xfId="0" applyFont="1" applyFill="1" applyBorder="1" applyAlignment="1">
      <alignment horizontal="center" vertical="center"/>
    </xf>
    <xf numFmtId="0" fontId="21" fillId="10" borderId="1" xfId="0" applyFont="1" applyFill="1" applyBorder="1" applyAlignment="1">
      <alignment horizontal="center" vertical="center" wrapText="1"/>
    </xf>
    <xf numFmtId="166" fontId="21" fillId="10" borderId="1" xfId="1" applyNumberFormat="1" applyFont="1" applyFill="1" applyBorder="1" applyAlignment="1">
      <alignment horizontal="center" vertical="center"/>
    </xf>
    <xf numFmtId="0" fontId="21" fillId="10" borderId="5" xfId="0" applyFont="1" applyFill="1" applyBorder="1" applyAlignment="1">
      <alignment horizontal="center" vertical="center"/>
    </xf>
    <xf numFmtId="0" fontId="21" fillId="10" borderId="6" xfId="0" applyFont="1" applyFill="1" applyBorder="1" applyAlignment="1">
      <alignment vertical="top" wrapText="1"/>
    </xf>
    <xf numFmtId="166" fontId="21" fillId="10" borderId="1" xfId="1" applyNumberFormat="1" applyFont="1" applyFill="1" applyBorder="1" applyAlignment="1">
      <alignment wrapText="1"/>
    </xf>
    <xf numFmtId="0" fontId="22" fillId="8" borderId="4" xfId="0" applyFont="1" applyFill="1" applyBorder="1" applyAlignment="1">
      <alignment horizontal="center" vertical="center"/>
    </xf>
    <xf numFmtId="0" fontId="22" fillId="8" borderId="4" xfId="0" applyFont="1" applyFill="1" applyBorder="1" applyAlignment="1">
      <alignment horizontal="center" vertical="center" wrapText="1"/>
    </xf>
    <xf numFmtId="0" fontId="7" fillId="8" borderId="0" xfId="0" applyFont="1" applyFill="1"/>
    <xf numFmtId="0" fontId="3" fillId="8" borderId="4" xfId="0" applyFont="1" applyFill="1" applyBorder="1" applyAlignment="1">
      <alignment horizontal="center" vertical="center"/>
    </xf>
    <xf numFmtId="0" fontId="3" fillId="8" borderId="1" xfId="0" applyFont="1" applyFill="1" applyBorder="1" applyAlignment="1">
      <alignment vertical="top" wrapText="1"/>
    </xf>
    <xf numFmtId="166" fontId="3" fillId="8" borderId="1" xfId="1" applyNumberFormat="1" applyFont="1" applyFill="1" applyBorder="1" applyAlignment="1">
      <alignment horizontal="right" vertical="top"/>
    </xf>
    <xf numFmtId="0" fontId="5" fillId="8" borderId="1" xfId="0" applyFont="1" applyFill="1" applyBorder="1" applyAlignment="1">
      <alignment horizontal="center" vertical="top" wrapText="1"/>
    </xf>
    <xf numFmtId="0" fontId="24" fillId="8" borderId="1" xfId="0" applyFont="1" applyFill="1" applyBorder="1" applyAlignment="1">
      <alignment vertical="top"/>
    </xf>
    <xf numFmtId="0" fontId="24" fillId="8" borderId="1" xfId="0" applyFont="1" applyFill="1" applyBorder="1" applyAlignment="1">
      <alignment horizontal="center" vertical="top"/>
    </xf>
    <xf numFmtId="0" fontId="25" fillId="8" borderId="0" xfId="0" applyFont="1" applyFill="1"/>
    <xf numFmtId="0" fontId="25" fillId="8" borderId="0" xfId="0" applyFont="1" applyFill="1" applyAlignment="1">
      <alignment horizontal="center" vertical="center"/>
    </xf>
    <xf numFmtId="0" fontId="16" fillId="8" borderId="1" xfId="0" applyFont="1" applyFill="1" applyBorder="1" applyAlignment="1">
      <alignment horizontal="center" vertical="top" wrapText="1"/>
    </xf>
    <xf numFmtId="168" fontId="5" fillId="8" borderId="1" xfId="0" applyNumberFormat="1" applyFont="1" applyFill="1" applyBorder="1" applyAlignment="1">
      <alignment horizontal="center" vertical="top" wrapText="1"/>
    </xf>
    <xf numFmtId="0" fontId="5" fillId="8" borderId="1" xfId="0" applyFont="1" applyFill="1" applyBorder="1" applyAlignment="1">
      <alignment horizontal="left" vertical="top" wrapText="1"/>
    </xf>
    <xf numFmtId="0" fontId="26" fillId="8" borderId="1" xfId="0" applyFont="1" applyFill="1" applyBorder="1" applyAlignment="1">
      <alignment horizontal="center" vertical="top"/>
    </xf>
    <xf numFmtId="166" fontId="26" fillId="8" borderId="1" xfId="1" applyNumberFormat="1" applyFont="1" applyFill="1" applyBorder="1" applyAlignment="1">
      <alignment horizontal="center" vertical="top"/>
    </xf>
    <xf numFmtId="0" fontId="25" fillId="8" borderId="0" xfId="0" applyFont="1" applyFill="1" applyAlignment="1">
      <alignment horizontal="center" vertical="top"/>
    </xf>
    <xf numFmtId="0" fontId="26" fillId="8" borderId="0" xfId="0" applyFont="1" applyFill="1" applyAlignment="1">
      <alignment horizontal="center" vertical="top"/>
    </xf>
    <xf numFmtId="166" fontId="26" fillId="8" borderId="0" xfId="1" applyNumberFormat="1" applyFont="1" applyFill="1" applyAlignment="1">
      <alignment horizontal="center" vertical="top"/>
    </xf>
    <xf numFmtId="166" fontId="25" fillId="8" borderId="0" xfId="1" applyNumberFormat="1" applyFont="1" applyFill="1" applyAlignment="1">
      <alignment horizontal="center" vertical="top"/>
    </xf>
    <xf numFmtId="166" fontId="25" fillId="8" borderId="0" xfId="1" applyNumberFormat="1" applyFont="1" applyFill="1" applyAlignment="1">
      <alignment horizontal="left" vertical="top"/>
    </xf>
    <xf numFmtId="166" fontId="25" fillId="8" borderId="0" xfId="1" applyNumberFormat="1" applyFont="1" applyFill="1" applyAlignment="1">
      <alignment horizontal="center" vertical="top" wrapText="1"/>
    </xf>
    <xf numFmtId="169" fontId="15" fillId="0" borderId="1" xfId="2" applyNumberFormat="1" applyFont="1" applyFill="1" applyBorder="1" applyAlignment="1">
      <alignment vertical="center"/>
    </xf>
    <xf numFmtId="0" fontId="15" fillId="0" borderId="1" xfId="0" applyFont="1" applyBorder="1" applyAlignment="1">
      <alignment horizontal="left"/>
    </xf>
    <xf numFmtId="0" fontId="24" fillId="8" borderId="1" xfId="0" applyFont="1" applyFill="1" applyBorder="1" applyAlignment="1">
      <alignment vertical="top" wrapText="1"/>
    </xf>
    <xf numFmtId="0" fontId="25" fillId="8" borderId="0" xfId="0" applyFont="1" applyFill="1" applyAlignment="1">
      <alignment vertical="top" wrapText="1"/>
    </xf>
    <xf numFmtId="0" fontId="13" fillId="0" borderId="1" xfId="0" applyFont="1" applyBorder="1" applyAlignment="1">
      <alignment horizontal="left" vertical="top" wrapText="1"/>
    </xf>
    <xf numFmtId="0" fontId="9" fillId="6" borderId="1" xfId="0" applyFont="1" applyFill="1" applyBorder="1" applyAlignment="1">
      <alignment horizontal="justify" wrapText="1"/>
    </xf>
    <xf numFmtId="166" fontId="7" fillId="0" borderId="0" xfId="0" applyNumberFormat="1" applyFont="1"/>
    <xf numFmtId="169" fontId="10" fillId="0" borderId="0" xfId="0" applyNumberFormat="1" applyFont="1"/>
    <xf numFmtId="0" fontId="8" fillId="0" borderId="1" xfId="0" applyFont="1" applyBorder="1" applyAlignment="1">
      <alignment vertical="top" wrapText="1"/>
    </xf>
    <xf numFmtId="168" fontId="10" fillId="0" borderId="1" xfId="0" applyNumberFormat="1" applyFont="1" applyBorder="1" applyAlignment="1">
      <alignment vertical="center" wrapText="1"/>
    </xf>
    <xf numFmtId="0" fontId="15" fillId="0" borderId="1" xfId="0" applyFont="1" applyBorder="1" applyAlignment="1">
      <alignment horizontal="justify" vertical="center" wrapText="1"/>
    </xf>
    <xf numFmtId="0" fontId="10" fillId="0" borderId="1" xfId="0" applyFont="1" applyBorder="1" applyAlignment="1">
      <alignment vertical="center" wrapText="1"/>
    </xf>
    <xf numFmtId="0" fontId="15" fillId="0" borderId="1" xfId="0" applyFont="1" applyBorder="1" applyAlignment="1">
      <alignment vertical="top" wrapText="1"/>
    </xf>
    <xf numFmtId="169" fontId="10" fillId="0" borderId="1" xfId="1" applyNumberFormat="1" applyFont="1" applyFill="1" applyBorder="1" applyAlignment="1">
      <alignment horizontal="center" vertical="center"/>
    </xf>
    <xf numFmtId="43" fontId="0" fillId="0" borderId="1" xfId="3" applyFont="1" applyBorder="1"/>
    <xf numFmtId="0" fontId="13" fillId="8" borderId="1" xfId="0" applyFont="1" applyFill="1" applyBorder="1" applyAlignment="1">
      <alignment horizontal="justify" vertical="center" wrapText="1"/>
    </xf>
    <xf numFmtId="0" fontId="13" fillId="8" borderId="1" xfId="0" applyFont="1" applyFill="1" applyBorder="1" applyAlignment="1">
      <alignment horizontal="center" vertical="center"/>
    </xf>
    <xf numFmtId="0" fontId="10" fillId="8" borderId="1" xfId="0" applyFont="1" applyFill="1" applyBorder="1" applyAlignment="1">
      <alignment horizontal="justify" vertical="center" wrapText="1"/>
    </xf>
    <xf numFmtId="43" fontId="10" fillId="0" borderId="0" xfId="3" applyFont="1"/>
    <xf numFmtId="43" fontId="10" fillId="0" borderId="0" xfId="0" applyNumberFormat="1" applyFont="1"/>
    <xf numFmtId="43" fontId="10" fillId="0" borderId="0" xfId="0" applyNumberFormat="1" applyFont="1" applyAlignment="1">
      <alignment wrapText="1"/>
    </xf>
    <xf numFmtId="43" fontId="25" fillId="8" borderId="0" xfId="3" applyFont="1" applyFill="1"/>
    <xf numFmtId="0" fontId="7" fillId="0" borderId="1" xfId="0" applyFont="1" applyBorder="1" applyAlignment="1">
      <alignment horizontal="center" vertical="center"/>
    </xf>
    <xf numFmtId="43" fontId="7" fillId="0" borderId="1" xfId="0" applyNumberFormat="1" applyFont="1" applyBorder="1" applyAlignment="1">
      <alignment horizontal="center" vertical="center"/>
    </xf>
    <xf numFmtId="43" fontId="7" fillId="0" borderId="1" xfId="3" applyFont="1" applyBorder="1" applyAlignment="1">
      <alignment horizontal="center" vertical="center"/>
    </xf>
    <xf numFmtId="43" fontId="3" fillId="8" borderId="1" xfId="3" applyFont="1" applyFill="1" applyBorder="1" applyAlignment="1">
      <alignment horizontal="center" vertical="center"/>
    </xf>
    <xf numFmtId="0" fontId="7" fillId="8" borderId="1" xfId="0" applyFont="1" applyFill="1" applyBorder="1" applyAlignment="1">
      <alignment horizontal="center" vertical="center"/>
    </xf>
    <xf numFmtId="0" fontId="7" fillId="0" borderId="0" xfId="0" applyFont="1" applyAlignment="1">
      <alignment horizontal="center" vertical="center"/>
    </xf>
    <xf numFmtId="43" fontId="7" fillId="0" borderId="0" xfId="3" applyFont="1" applyAlignment="1">
      <alignment horizontal="center" vertical="center"/>
    </xf>
    <xf numFmtId="0" fontId="28" fillId="10" borderId="1" xfId="0" applyFont="1" applyFill="1" applyBorder="1" applyAlignment="1">
      <alignment horizontal="center" vertical="center"/>
    </xf>
    <xf numFmtId="43" fontId="28" fillId="10" borderId="1" xfId="0" applyNumberFormat="1" applyFont="1" applyFill="1" applyBorder="1" applyAlignment="1">
      <alignment horizontal="center" vertical="center"/>
    </xf>
    <xf numFmtId="10" fontId="28" fillId="10" borderId="1" xfId="0" applyNumberFormat="1" applyFont="1" applyFill="1" applyBorder="1" applyAlignment="1">
      <alignment horizontal="center" vertical="center"/>
    </xf>
    <xf numFmtId="0" fontId="28" fillId="10" borderId="1" xfId="0" applyFont="1" applyFill="1" applyBorder="1" applyAlignment="1">
      <alignment horizontal="center" vertical="center" wrapText="1"/>
    </xf>
    <xf numFmtId="170" fontId="28" fillId="10" borderId="1" xfId="0" applyNumberFormat="1" applyFont="1" applyFill="1" applyBorder="1" applyAlignment="1">
      <alignment horizontal="center" vertical="center" wrapText="1"/>
    </xf>
    <xf numFmtId="0" fontId="0" fillId="0" borderId="0" xfId="0" applyAlignment="1">
      <alignment horizontal="left"/>
    </xf>
    <xf numFmtId="165" fontId="0" fillId="11" borderId="0" xfId="0" applyNumberFormat="1" applyFill="1" applyAlignment="1">
      <alignment horizontal="center"/>
    </xf>
    <xf numFmtId="171" fontId="2" fillId="8" borderId="0" xfId="4" applyNumberFormat="1" applyFont="1" applyFill="1" applyBorder="1"/>
    <xf numFmtId="0" fontId="2" fillId="0" borderId="1" xfId="0" applyFont="1" applyBorder="1" applyAlignment="1">
      <alignment horizontal="left"/>
    </xf>
    <xf numFmtId="0" fontId="2" fillId="0" borderId="1" xfId="0" applyFont="1" applyBorder="1" applyAlignment="1">
      <alignment horizontal="center"/>
    </xf>
    <xf numFmtId="0" fontId="2" fillId="0" borderId="0" xfId="0" applyFont="1"/>
    <xf numFmtId="165" fontId="0" fillId="8" borderId="0" xfId="4" applyFont="1" applyFill="1" applyBorder="1"/>
    <xf numFmtId="171" fontId="0" fillId="8" borderId="0" xfId="4" applyNumberFormat="1" applyFont="1" applyFill="1" applyBorder="1"/>
    <xf numFmtId="1" fontId="2" fillId="8" borderId="0" xfId="4" applyNumberFormat="1" applyFont="1" applyFill="1" applyBorder="1"/>
    <xf numFmtId="0" fontId="0" fillId="0" borderId="1" xfId="0" applyBorder="1" applyAlignment="1">
      <alignment horizontal="left"/>
    </xf>
    <xf numFmtId="165" fontId="0" fillId="0" borderId="0" xfId="0" applyNumberFormat="1"/>
    <xf numFmtId="1" fontId="0" fillId="8" borderId="0" xfId="4" applyNumberFormat="1" applyFont="1" applyFill="1" applyBorder="1"/>
    <xf numFmtId="165" fontId="0" fillId="0" borderId="1" xfId="4" applyFont="1" applyBorder="1" applyAlignment="1">
      <alignment horizontal="center"/>
    </xf>
    <xf numFmtId="165" fontId="2" fillId="8" borderId="0" xfId="4" applyFont="1" applyFill="1" applyBorder="1"/>
    <xf numFmtId="172" fontId="0" fillId="8" borderId="0" xfId="4" applyNumberFormat="1" applyFont="1" applyFill="1" applyBorder="1"/>
    <xf numFmtId="43" fontId="0" fillId="0" borderId="0" xfId="0" applyNumberFormat="1"/>
    <xf numFmtId="171" fontId="0" fillId="0" borderId="0" xfId="4" applyNumberFormat="1" applyFont="1"/>
    <xf numFmtId="165" fontId="0" fillId="0" borderId="0" xfId="4" applyFont="1"/>
    <xf numFmtId="165" fontId="2" fillId="0" borderId="0" xfId="0" applyNumberFormat="1" applyFont="1"/>
    <xf numFmtId="0" fontId="2" fillId="12" borderId="3" xfId="0" applyFont="1" applyFill="1" applyBorder="1" applyAlignment="1">
      <alignment horizontal="center"/>
    </xf>
    <xf numFmtId="0" fontId="2" fillId="12" borderId="1" xfId="0" applyFont="1" applyFill="1" applyBorder="1" applyAlignment="1">
      <alignment horizontal="center"/>
    </xf>
    <xf numFmtId="0" fontId="2" fillId="12" borderId="1" xfId="0" applyFont="1" applyFill="1" applyBorder="1" applyAlignment="1">
      <alignment horizontal="center" wrapText="1"/>
    </xf>
    <xf numFmtId="0" fontId="0" fillId="12" borderId="1" xfId="0" applyFill="1" applyBorder="1"/>
    <xf numFmtId="0" fontId="0" fillId="0" borderId="0" xfId="0" applyAlignment="1">
      <alignment horizontal="center" wrapText="1"/>
    </xf>
    <xf numFmtId="0" fontId="2" fillId="0" borderId="1" xfId="0" applyFont="1" applyBorder="1" applyAlignment="1">
      <alignment horizontal="center" wrapText="1"/>
    </xf>
    <xf numFmtId="0" fontId="0" fillId="0" borderId="0" xfId="0" applyAlignment="1">
      <alignment vertical="center"/>
    </xf>
    <xf numFmtId="165" fontId="0" fillId="12" borderId="1" xfId="0" applyNumberFormat="1" applyFill="1" applyBorder="1"/>
    <xf numFmtId="165" fontId="0" fillId="0" borderId="1" xfId="0" applyNumberFormat="1" applyBorder="1"/>
    <xf numFmtId="43" fontId="2" fillId="0" borderId="1" xfId="0" applyNumberFormat="1" applyFont="1" applyBorder="1" applyAlignment="1">
      <alignment horizontal="center" wrapText="1"/>
    </xf>
    <xf numFmtId="43" fontId="2" fillId="12" borderId="1" xfId="0" applyNumberFormat="1" applyFont="1" applyFill="1" applyBorder="1" applyAlignment="1">
      <alignment horizontal="center" wrapText="1"/>
    </xf>
    <xf numFmtId="0" fontId="0" fillId="8" borderId="1" xfId="0" applyFill="1" applyBorder="1" applyAlignment="1">
      <alignment horizontal="center"/>
    </xf>
    <xf numFmtId="0" fontId="0" fillId="8" borderId="1" xfId="0" applyFill="1" applyBorder="1"/>
    <xf numFmtId="43" fontId="0" fillId="8" borderId="1" xfId="0" applyNumberFormat="1" applyFill="1" applyBorder="1"/>
    <xf numFmtId="17" fontId="0" fillId="0" borderId="1" xfId="0" applyNumberFormat="1" applyBorder="1" applyAlignment="1">
      <alignment horizontal="center"/>
    </xf>
    <xf numFmtId="17" fontId="0" fillId="8" borderId="1" xfId="0" applyNumberFormat="1" applyFill="1" applyBorder="1" applyAlignment="1">
      <alignment horizontal="center"/>
    </xf>
    <xf numFmtId="0" fontId="0" fillId="13" borderId="1" xfId="0" applyFill="1" applyBorder="1"/>
    <xf numFmtId="43" fontId="0" fillId="0" borderId="1" xfId="0" applyNumberFormat="1" applyBorder="1"/>
    <xf numFmtId="0" fontId="0" fillId="8" borderId="0" xfId="0" applyFill="1"/>
    <xf numFmtId="1" fontId="0" fillId="8" borderId="0" xfId="0" applyNumberFormat="1" applyFill="1"/>
    <xf numFmtId="173" fontId="0" fillId="8" borderId="0" xfId="0" applyNumberFormat="1" applyFill="1"/>
    <xf numFmtId="171" fontId="30" fillId="8" borderId="0" xfId="4" applyNumberFormat="1" applyFont="1" applyFill="1" applyBorder="1"/>
    <xf numFmtId="165" fontId="2" fillId="0" borderId="1" xfId="0" applyNumberFormat="1" applyFont="1" applyBorder="1" applyAlignment="1">
      <alignment horizontal="center"/>
    </xf>
    <xf numFmtId="0" fontId="30" fillId="0" borderId="1" xfId="0" applyFont="1" applyBorder="1" applyAlignment="1">
      <alignment horizontal="left"/>
    </xf>
    <xf numFmtId="165" fontId="30" fillId="0" borderId="1" xfId="4" applyFont="1" applyBorder="1" applyAlignment="1">
      <alignment horizontal="center"/>
    </xf>
    <xf numFmtId="43" fontId="0" fillId="0" borderId="1" xfId="0" applyNumberFormat="1" applyBorder="1" applyAlignment="1">
      <alignment horizontal="center"/>
    </xf>
    <xf numFmtId="0" fontId="31" fillId="0" borderId="1" xfId="0" applyFont="1" applyBorder="1" applyAlignment="1">
      <alignment horizontal="center"/>
    </xf>
    <xf numFmtId="43" fontId="31" fillId="0" borderId="1" xfId="0" applyNumberFormat="1" applyFont="1" applyBorder="1" applyAlignment="1">
      <alignment horizontal="center"/>
    </xf>
    <xf numFmtId="10" fontId="31" fillId="0" borderId="1" xfId="0" applyNumberFormat="1" applyFont="1" applyBorder="1" applyAlignment="1">
      <alignment horizontal="center"/>
    </xf>
    <xf numFmtId="165" fontId="31" fillId="12" borderId="1" xfId="0" applyNumberFormat="1" applyFont="1" applyFill="1" applyBorder="1"/>
    <xf numFmtId="0" fontId="31" fillId="13" borderId="1" xfId="0" applyFont="1" applyFill="1" applyBorder="1"/>
    <xf numFmtId="165" fontId="31" fillId="0" borderId="1" xfId="0" applyNumberFormat="1" applyFont="1" applyBorder="1"/>
    <xf numFmtId="171" fontId="32" fillId="8" borderId="0" xfId="4" applyNumberFormat="1" applyFont="1" applyFill="1" applyBorder="1"/>
    <xf numFmtId="0" fontId="0" fillId="0" borderId="1" xfId="0" applyBorder="1" applyAlignment="1">
      <alignment horizontal="center"/>
    </xf>
    <xf numFmtId="0" fontId="2" fillId="12" borderId="1" xfId="0" applyFont="1" applyFill="1" applyBorder="1" applyAlignment="1">
      <alignment horizontal="center"/>
    </xf>
    <xf numFmtId="0" fontId="23" fillId="8" borderId="1" xfId="0" applyFont="1" applyFill="1" applyBorder="1" applyAlignment="1">
      <alignment horizontal="left" vertical="top" wrapText="1"/>
    </xf>
    <xf numFmtId="0" fontId="23" fillId="8" borderId="9" xfId="0" applyFont="1" applyFill="1" applyBorder="1" applyAlignment="1">
      <alignment horizontal="left" vertical="top" wrapText="1"/>
    </xf>
    <xf numFmtId="0" fontId="3" fillId="0" borderId="0" xfId="0" applyFont="1" applyAlignment="1">
      <alignment horizontal="left"/>
    </xf>
    <xf numFmtId="0" fontId="3" fillId="0" borderId="7" xfId="0" applyFont="1" applyBorder="1" applyAlignment="1">
      <alignment wrapText="1"/>
    </xf>
    <xf numFmtId="0" fontId="3" fillId="0" borderId="8" xfId="0" applyFont="1" applyBorder="1" applyAlignment="1">
      <alignment wrapText="1"/>
    </xf>
    <xf numFmtId="0" fontId="3" fillId="0" borderId="10" xfId="0" applyFont="1" applyBorder="1" applyAlignment="1">
      <alignment wrapText="1"/>
    </xf>
    <xf numFmtId="0" fontId="22" fillId="8" borderId="4" xfId="0" applyFont="1" applyFill="1" applyBorder="1" applyAlignment="1">
      <alignment horizontal="center"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43" fontId="10" fillId="0" borderId="0" xfId="3" applyFont="1" applyAlignment="1">
      <alignment horizontal="center"/>
    </xf>
    <xf numFmtId="43" fontId="10" fillId="0" borderId="0" xfId="0" applyNumberFormat="1" applyFont="1" applyAlignment="1">
      <alignment horizontal="center"/>
    </xf>
    <xf numFmtId="0" fontId="10" fillId="0" borderId="0" xfId="0" applyFont="1" applyAlignment="1">
      <alignment horizontal="center"/>
    </xf>
    <xf numFmtId="169" fontId="10" fillId="0" borderId="0" xfId="0" applyNumberFormat="1" applyFont="1" applyAlignment="1">
      <alignment horizontal="center"/>
    </xf>
    <xf numFmtId="166" fontId="26" fillId="9" borderId="1" xfId="1" applyNumberFormat="1" applyFont="1" applyFill="1" applyBorder="1" applyAlignment="1">
      <alignment horizontal="center" vertical="center" wrapText="1"/>
    </xf>
    <xf numFmtId="166" fontId="25" fillId="8" borderId="0" xfId="1" applyNumberFormat="1" applyFont="1" applyFill="1" applyAlignment="1">
      <alignment horizontal="center" vertical="top" wrapText="1"/>
    </xf>
    <xf numFmtId="0" fontId="24" fillId="8" borderId="1" xfId="0" applyFont="1" applyFill="1" applyBorder="1" applyAlignment="1">
      <alignment horizontal="center" vertical="top"/>
    </xf>
    <xf numFmtId="0" fontId="16" fillId="9" borderId="1" xfId="0" applyFont="1" applyFill="1" applyBorder="1" applyAlignment="1">
      <alignment horizontal="center" vertical="center" wrapText="1"/>
    </xf>
    <xf numFmtId="0" fontId="11" fillId="0" borderId="1" xfId="0" applyFont="1" applyBorder="1" applyAlignment="1">
      <alignment horizontal="center"/>
    </xf>
    <xf numFmtId="0" fontId="19" fillId="0" borderId="0" xfId="0" applyFont="1" applyAlignment="1">
      <alignment horizontal="center"/>
    </xf>
    <xf numFmtId="0" fontId="27" fillId="0" borderId="0" xfId="0" applyFont="1" applyAlignment="1">
      <alignment horizontal="center"/>
    </xf>
    <xf numFmtId="0" fontId="0" fillId="9" borderId="1" xfId="0" applyFill="1" applyBorder="1" applyAlignment="1">
      <alignment horizontal="center"/>
    </xf>
    <xf numFmtId="0" fontId="6" fillId="0" borderId="2" xfId="0" applyFont="1" applyBorder="1" applyAlignment="1">
      <alignment horizontal="center" vertical="top"/>
    </xf>
    <xf numFmtId="0" fontId="6" fillId="0" borderId="3" xfId="0" applyFont="1" applyBorder="1" applyAlignment="1">
      <alignment horizontal="center" vertical="top"/>
    </xf>
    <xf numFmtId="0" fontId="4" fillId="2" borderId="1" xfId="0" applyFont="1" applyFill="1" applyBorder="1" applyAlignment="1">
      <alignment horizontal="center" vertical="center" wrapText="1"/>
    </xf>
    <xf numFmtId="166" fontId="2" fillId="3" borderId="1" xfId="1" applyNumberFormat="1" applyFont="1" applyFill="1" applyBorder="1" applyAlignment="1">
      <alignment horizontal="center" vertical="center" wrapText="1"/>
    </xf>
  </cellXfs>
  <cellStyles count="5">
    <cellStyle name="Comma" xfId="3" builtinId="3"/>
    <cellStyle name="Comma 2" xfId="2" xr:uid="{00000000-0005-0000-0000-000001000000}"/>
    <cellStyle name="Comma 3" xfId="4" xr:uid="{39A00075-C314-DE4C-A862-BE1D6DEDDADA}"/>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5FCF-2CC0-F94A-B9AF-111AE48AE2CF}">
  <dimension ref="A1:L1048576"/>
  <sheetViews>
    <sheetView topLeftCell="A3" zoomScale="101" workbookViewId="0">
      <selection activeCell="D25" sqref="D25"/>
    </sheetView>
  </sheetViews>
  <sheetFormatPr baseColWidth="10" defaultColWidth="8.83203125" defaultRowHeight="15" x14ac:dyDescent="0.2"/>
  <cols>
    <col min="2" max="2" width="35.33203125" style="48" customWidth="1"/>
    <col min="3" max="3" width="11.33203125" style="48" customWidth="1"/>
    <col min="4" max="4" width="15.33203125" bestFit="1" customWidth="1"/>
    <col min="5" max="5" width="12" bestFit="1" customWidth="1"/>
    <col min="6" max="6" width="20.6640625" bestFit="1" customWidth="1"/>
    <col min="7" max="7" width="12" bestFit="1" customWidth="1"/>
    <col min="8" max="8" width="10.5" bestFit="1" customWidth="1"/>
    <col min="9" max="9" width="12" bestFit="1" customWidth="1"/>
    <col min="10" max="10" width="10.5" bestFit="1" customWidth="1"/>
    <col min="11" max="11" width="10" customWidth="1"/>
    <col min="12" max="12" width="10.33203125" bestFit="1" customWidth="1"/>
    <col min="13" max="13" width="13.1640625" bestFit="1" customWidth="1"/>
    <col min="18" max="18" width="9.1640625" bestFit="1" customWidth="1"/>
  </cols>
  <sheetData>
    <row r="1" spans="1:10" x14ac:dyDescent="0.2">
      <c r="B1" s="113" t="s">
        <v>385</v>
      </c>
      <c r="C1" s="114">
        <f>17.67</f>
        <v>17.670000000000002</v>
      </c>
      <c r="E1" s="150"/>
      <c r="F1" s="150"/>
      <c r="G1" s="150"/>
      <c r="H1" s="150"/>
      <c r="I1" s="150"/>
    </row>
    <row r="2" spans="1:10" x14ac:dyDescent="0.2">
      <c r="B2" s="113" t="s">
        <v>413</v>
      </c>
      <c r="C2" s="114">
        <v>15.77</v>
      </c>
      <c r="E2" s="150"/>
      <c r="F2" s="150"/>
      <c r="G2" s="150"/>
      <c r="H2" s="150"/>
      <c r="I2" s="150"/>
    </row>
    <row r="3" spans="1:10" x14ac:dyDescent="0.2">
      <c r="B3" s="113" t="s">
        <v>414</v>
      </c>
      <c r="C3" s="114">
        <v>1.9</v>
      </c>
      <c r="E3" s="150"/>
      <c r="F3" s="150"/>
      <c r="G3" s="150"/>
      <c r="H3" s="150"/>
      <c r="I3" s="150"/>
    </row>
    <row r="4" spans="1:10" x14ac:dyDescent="0.2">
      <c r="B4" s="113"/>
      <c r="E4" s="115"/>
      <c r="F4" s="115"/>
      <c r="G4" s="115"/>
      <c r="H4" s="151"/>
      <c r="I4" s="150"/>
    </row>
    <row r="5" spans="1:10" ht="18" x14ac:dyDescent="0.35">
      <c r="B5" s="116" t="s">
        <v>386</v>
      </c>
      <c r="C5" s="117"/>
      <c r="D5" s="118"/>
      <c r="E5" s="119"/>
      <c r="F5" s="164" t="s">
        <v>387</v>
      </c>
      <c r="G5" s="120"/>
      <c r="H5" s="121"/>
      <c r="I5" s="150"/>
    </row>
    <row r="6" spans="1:10" x14ac:dyDescent="0.2">
      <c r="A6" s="128"/>
      <c r="B6" s="122" t="s">
        <v>411</v>
      </c>
      <c r="C6" s="125">
        <v>5.54</v>
      </c>
      <c r="D6" s="123"/>
      <c r="E6" s="120"/>
      <c r="F6" s="120"/>
      <c r="G6" s="120"/>
      <c r="H6" s="124"/>
      <c r="I6" s="152"/>
    </row>
    <row r="7" spans="1:10" x14ac:dyDescent="0.2">
      <c r="B7" s="122" t="s">
        <v>412</v>
      </c>
      <c r="C7" s="125">
        <v>2.34</v>
      </c>
      <c r="D7" s="123"/>
      <c r="E7" s="120"/>
      <c r="F7" s="120" t="s">
        <v>409</v>
      </c>
      <c r="G7" s="120" t="s">
        <v>406</v>
      </c>
      <c r="H7" s="124"/>
      <c r="I7" s="152"/>
    </row>
    <row r="8" spans="1:10" x14ac:dyDescent="0.2">
      <c r="B8" s="36" t="s">
        <v>415</v>
      </c>
      <c r="C8" s="125">
        <v>1.44</v>
      </c>
      <c r="D8" s="123"/>
      <c r="E8" s="120"/>
      <c r="F8" s="120" t="s">
        <v>410</v>
      </c>
      <c r="G8" s="120" t="s">
        <v>418</v>
      </c>
      <c r="H8" s="124"/>
      <c r="I8" s="152"/>
    </row>
    <row r="9" spans="1:10" x14ac:dyDescent="0.2">
      <c r="B9" s="122" t="s">
        <v>424</v>
      </c>
      <c r="C9" s="125">
        <v>1.44</v>
      </c>
      <c r="D9" s="123"/>
      <c r="E9" s="120"/>
      <c r="F9" s="120"/>
      <c r="G9" s="120"/>
      <c r="H9" s="124"/>
      <c r="I9" s="152"/>
    </row>
    <row r="10" spans="1:10" x14ac:dyDescent="0.2">
      <c r="B10" s="122" t="s">
        <v>416</v>
      </c>
      <c r="C10" s="125">
        <f>C2*3%*4%*2</f>
        <v>3.7848E-2</v>
      </c>
      <c r="D10" s="123"/>
      <c r="E10" s="120"/>
      <c r="F10" s="120" t="s">
        <v>388</v>
      </c>
      <c r="G10" s="120"/>
      <c r="H10" s="124"/>
      <c r="I10" s="152"/>
    </row>
    <row r="11" spans="1:10" ht="13.75" customHeight="1" x14ac:dyDescent="0.2">
      <c r="B11" s="122" t="s">
        <v>417</v>
      </c>
      <c r="C11" s="125">
        <f>C2*30%*4%/2</f>
        <v>9.4619999999999996E-2</v>
      </c>
      <c r="D11" s="123"/>
      <c r="E11" s="120"/>
      <c r="F11" s="120"/>
      <c r="G11" s="120"/>
      <c r="H11" s="124"/>
      <c r="I11" s="152"/>
    </row>
    <row r="12" spans="1:10" ht="13.75" customHeight="1" x14ac:dyDescent="0.2">
      <c r="B12" s="122" t="s">
        <v>419</v>
      </c>
      <c r="C12" s="125">
        <f>C3/3*10%*4%*3.25</f>
        <v>8.2333333333333338E-3</v>
      </c>
      <c r="D12" s="123"/>
      <c r="E12" s="126"/>
      <c r="F12" s="153" t="s">
        <v>407</v>
      </c>
      <c r="G12" s="153" t="s">
        <v>389</v>
      </c>
      <c r="H12" s="124"/>
      <c r="I12" s="152"/>
    </row>
    <row r="13" spans="1:10" x14ac:dyDescent="0.2">
      <c r="A13" s="123"/>
      <c r="B13" s="155" t="s">
        <v>430</v>
      </c>
      <c r="C13" s="156">
        <v>0.5</v>
      </c>
      <c r="D13" s="118"/>
      <c r="E13" s="120"/>
      <c r="F13" s="153" t="s">
        <v>408</v>
      </c>
      <c r="G13" s="153" t="s">
        <v>425</v>
      </c>
      <c r="H13" s="121"/>
      <c r="I13" s="152"/>
    </row>
    <row r="14" spans="1:10" ht="13.75" customHeight="1" x14ac:dyDescent="0.2">
      <c r="A14" s="123"/>
      <c r="B14" s="122" t="s">
        <v>420</v>
      </c>
      <c r="C14" s="125">
        <v>0.5</v>
      </c>
      <c r="D14" s="123"/>
      <c r="E14" s="120"/>
      <c r="F14" s="120"/>
      <c r="G14" s="120"/>
      <c r="H14" s="127"/>
      <c r="I14" s="152"/>
    </row>
    <row r="15" spans="1:10" x14ac:dyDescent="0.2">
      <c r="A15" s="128"/>
      <c r="B15" s="117" t="s">
        <v>421</v>
      </c>
      <c r="C15" s="154">
        <v>0.68</v>
      </c>
      <c r="D15" s="128"/>
      <c r="E15" s="120"/>
      <c r="F15" s="120"/>
      <c r="G15" s="120"/>
      <c r="H15" s="120"/>
      <c r="I15" s="120"/>
      <c r="J15" s="129"/>
    </row>
    <row r="16" spans="1:10" x14ac:dyDescent="0.2">
      <c r="A16" s="128"/>
      <c r="B16" s="117" t="s">
        <v>90</v>
      </c>
      <c r="C16" s="154">
        <f>SUM(C6:C15)</f>
        <v>12.580701333333334</v>
      </c>
      <c r="E16" s="130"/>
      <c r="F16" s="130"/>
      <c r="G16" s="130"/>
      <c r="H16" s="129"/>
      <c r="I16" s="129"/>
      <c r="J16" s="129"/>
    </row>
    <row r="17" spans="1:12" x14ac:dyDescent="0.2">
      <c r="A17" s="128"/>
      <c r="B17" s="49" t="s">
        <v>390</v>
      </c>
      <c r="C17" s="157">
        <f>I72</f>
        <v>0</v>
      </c>
      <c r="E17" s="123"/>
      <c r="F17" s="123"/>
      <c r="G17" s="123"/>
      <c r="H17" s="130"/>
      <c r="I17" s="130"/>
      <c r="J17" s="131"/>
    </row>
    <row r="18" spans="1:12" x14ac:dyDescent="0.2">
      <c r="B18" s="158" t="s">
        <v>422</v>
      </c>
      <c r="C18" s="159">
        <f>C16+C17</f>
        <v>12.580701333333334</v>
      </c>
    </row>
    <row r="19" spans="1:12" x14ac:dyDescent="0.2">
      <c r="B19" s="158" t="s">
        <v>383</v>
      </c>
      <c r="C19" s="160">
        <f>1-C18/C1</f>
        <v>0.28801916619505763</v>
      </c>
    </row>
    <row r="20" spans="1:12" x14ac:dyDescent="0.2">
      <c r="B20" s="158" t="s">
        <v>423</v>
      </c>
      <c r="C20" s="159">
        <f>C1-C18</f>
        <v>5.089298666666668</v>
      </c>
    </row>
    <row r="21" spans="1:12" s="136" customFormat="1" x14ac:dyDescent="0.2">
      <c r="A21"/>
      <c r="B21" s="48"/>
      <c r="C21" s="48"/>
      <c r="D21"/>
      <c r="E21" s="132"/>
      <c r="F21" s="132"/>
      <c r="G21" s="132"/>
      <c r="H21" s="123" t="s">
        <v>390</v>
      </c>
      <c r="I21" s="123">
        <v>0.01</v>
      </c>
      <c r="J21"/>
      <c r="K21"/>
      <c r="L21"/>
    </row>
    <row r="22" spans="1:12" x14ac:dyDescent="0.2">
      <c r="B22" s="166" t="s">
        <v>391</v>
      </c>
      <c r="C22" s="166" t="s">
        <v>392</v>
      </c>
      <c r="D22" s="166" t="s">
        <v>393</v>
      </c>
      <c r="E22" s="166"/>
      <c r="F22" s="166" t="s">
        <v>394</v>
      </c>
      <c r="G22" s="166"/>
      <c r="H22" s="166" t="s">
        <v>395</v>
      </c>
      <c r="I22" s="166"/>
      <c r="J22" s="166"/>
    </row>
    <row r="23" spans="1:12" ht="16" x14ac:dyDescent="0.2">
      <c r="B23" s="166"/>
      <c r="C23" s="166"/>
      <c r="D23" s="133"/>
      <c r="E23" s="134" t="s">
        <v>396</v>
      </c>
      <c r="F23" s="133"/>
      <c r="G23" s="133"/>
      <c r="H23" s="135"/>
      <c r="I23" s="133"/>
      <c r="J23" s="133"/>
    </row>
    <row r="24" spans="1:12" ht="32" x14ac:dyDescent="0.2">
      <c r="A24" s="136"/>
      <c r="B24" s="134" t="s">
        <v>397</v>
      </c>
      <c r="C24" s="134" t="s">
        <v>392</v>
      </c>
      <c r="D24" s="134"/>
      <c r="E24" s="134" t="s">
        <v>396</v>
      </c>
      <c r="F24" s="134"/>
      <c r="G24" s="134" t="s">
        <v>398</v>
      </c>
      <c r="H24" s="137" t="s">
        <v>399</v>
      </c>
      <c r="I24" s="134" t="s">
        <v>400</v>
      </c>
      <c r="J24" s="134" t="s">
        <v>395</v>
      </c>
      <c r="K24" s="136"/>
      <c r="L24" s="136"/>
    </row>
    <row r="25" spans="1:12" x14ac:dyDescent="0.2">
      <c r="A25" s="138"/>
      <c r="B25" s="49">
        <v>2026</v>
      </c>
      <c r="C25" s="49" t="s">
        <v>401</v>
      </c>
      <c r="D25" s="149">
        <f>C2*30%</f>
        <v>4.7309999999999999</v>
      </c>
      <c r="E25" s="161">
        <f>D25</f>
        <v>4.7309999999999999</v>
      </c>
      <c r="F25" s="140">
        <f>C10+C11+(C8/9)</f>
        <v>0.29246800000000001</v>
      </c>
      <c r="G25" s="139">
        <f>F25</f>
        <v>0.29246800000000001</v>
      </c>
      <c r="H25" s="141">
        <f>E25-G25</f>
        <v>4.4385319999999995</v>
      </c>
      <c r="I25" s="142">
        <f t="shared" ref="I25:I70" si="0">IF(H25&lt;0,H25*1%,0)</f>
        <v>0</v>
      </c>
      <c r="J25" s="142">
        <f t="shared" ref="J25:J71" si="1">H25+I25</f>
        <v>4.4385319999999995</v>
      </c>
    </row>
    <row r="26" spans="1:12" x14ac:dyDescent="0.2">
      <c r="A26" s="138"/>
      <c r="B26" s="49">
        <v>2026</v>
      </c>
      <c r="C26" s="143" t="s">
        <v>402</v>
      </c>
      <c r="D26" s="144"/>
      <c r="E26" s="161">
        <f>D26</f>
        <v>0</v>
      </c>
      <c r="F26" s="140">
        <f>C7+(C8/9)</f>
        <v>2.5</v>
      </c>
      <c r="G26" s="139">
        <f t="shared" ref="G26:G71" si="2">F26</f>
        <v>2.5</v>
      </c>
      <c r="H26" s="141">
        <f t="shared" ref="H26:H45" si="3">E26-G26+J25</f>
        <v>1.9385319999999995</v>
      </c>
      <c r="I26" s="142">
        <f t="shared" si="0"/>
        <v>0</v>
      </c>
      <c r="J26" s="142">
        <f t="shared" si="1"/>
        <v>1.9385319999999995</v>
      </c>
    </row>
    <row r="27" spans="1:12" x14ac:dyDescent="0.2">
      <c r="A27" s="138"/>
      <c r="B27" s="49">
        <v>2027</v>
      </c>
      <c r="C27" s="143" t="s">
        <v>403</v>
      </c>
      <c r="D27" s="145">
        <f>C2*40%</f>
        <v>6.3079999999999998</v>
      </c>
      <c r="E27" s="161">
        <f>D27</f>
        <v>6.3079999999999998</v>
      </c>
      <c r="F27" s="140">
        <f>C8/9+C14+C13+C15</f>
        <v>1.8400000000000003</v>
      </c>
      <c r="G27" s="139">
        <f t="shared" si="2"/>
        <v>1.8400000000000003</v>
      </c>
      <c r="H27" s="141">
        <f t="shared" si="3"/>
        <v>6.4065319999999994</v>
      </c>
      <c r="I27" s="142">
        <f t="shared" si="0"/>
        <v>0</v>
      </c>
      <c r="J27" s="142">
        <f t="shared" si="1"/>
        <v>6.4065319999999994</v>
      </c>
    </row>
    <row r="28" spans="1:12" x14ac:dyDescent="0.2">
      <c r="A28" s="138"/>
      <c r="B28" s="49">
        <v>2027</v>
      </c>
      <c r="C28" s="143" t="s">
        <v>404</v>
      </c>
      <c r="D28" s="144"/>
      <c r="E28" s="161">
        <f>D28</f>
        <v>0</v>
      </c>
      <c r="F28" s="140">
        <f>C8/9</f>
        <v>0.16</v>
      </c>
      <c r="G28" s="139">
        <f t="shared" si="2"/>
        <v>0.16</v>
      </c>
      <c r="H28" s="141">
        <f t="shared" si="3"/>
        <v>6.2465319999999993</v>
      </c>
      <c r="I28" s="142">
        <f t="shared" si="0"/>
        <v>0</v>
      </c>
      <c r="J28" s="142">
        <f t="shared" si="1"/>
        <v>6.2465319999999993</v>
      </c>
    </row>
    <row r="29" spans="1:12" x14ac:dyDescent="0.2">
      <c r="A29" s="138"/>
      <c r="B29" s="49">
        <v>2027</v>
      </c>
      <c r="C29" s="143" t="s">
        <v>405</v>
      </c>
      <c r="D29" s="145"/>
      <c r="E29" s="161">
        <f t="shared" ref="E29:E46" si="4">D29</f>
        <v>0</v>
      </c>
      <c r="F29" s="140">
        <f>C6+(C8/9)</f>
        <v>5.7</v>
      </c>
      <c r="G29" s="139">
        <f t="shared" si="2"/>
        <v>5.7</v>
      </c>
      <c r="H29" s="141">
        <f t="shared" si="3"/>
        <v>0.54653199999999913</v>
      </c>
      <c r="I29" s="142">
        <f t="shared" si="0"/>
        <v>0</v>
      </c>
      <c r="J29" s="142">
        <f t="shared" si="1"/>
        <v>0.54653199999999913</v>
      </c>
    </row>
    <row r="30" spans="1:12" x14ac:dyDescent="0.2">
      <c r="B30" s="49">
        <v>2027</v>
      </c>
      <c r="C30" s="146">
        <v>46204</v>
      </c>
      <c r="D30" s="140"/>
      <c r="E30" s="161">
        <f t="shared" si="4"/>
        <v>0</v>
      </c>
      <c r="F30" s="149">
        <f>C9/9</f>
        <v>0.16</v>
      </c>
      <c r="G30" s="139">
        <f t="shared" si="2"/>
        <v>0.16</v>
      </c>
      <c r="H30" s="141">
        <f t="shared" si="3"/>
        <v>0.3865319999999991</v>
      </c>
      <c r="I30" s="142">
        <f t="shared" si="0"/>
        <v>0</v>
      </c>
      <c r="J30" s="142">
        <f t="shared" si="1"/>
        <v>0.3865319999999991</v>
      </c>
    </row>
    <row r="31" spans="1:12" x14ac:dyDescent="0.2">
      <c r="B31" s="49">
        <v>2027</v>
      </c>
      <c r="C31" s="146">
        <v>46235</v>
      </c>
      <c r="D31" s="36"/>
      <c r="E31" s="161">
        <f t="shared" si="4"/>
        <v>0</v>
      </c>
      <c r="F31" s="149">
        <f>C8/9</f>
        <v>0.16</v>
      </c>
      <c r="G31" s="139">
        <f t="shared" si="2"/>
        <v>0.16</v>
      </c>
      <c r="H31" s="141">
        <f t="shared" si="3"/>
        <v>0.2265319999999991</v>
      </c>
      <c r="I31" s="142">
        <f t="shared" si="0"/>
        <v>0</v>
      </c>
      <c r="J31" s="142">
        <f t="shared" si="1"/>
        <v>0.2265319999999991</v>
      </c>
    </row>
    <row r="32" spans="1:12" x14ac:dyDescent="0.2">
      <c r="B32" s="49">
        <v>2027</v>
      </c>
      <c r="C32" s="146">
        <v>46266</v>
      </c>
      <c r="E32" s="161">
        <f t="shared" si="4"/>
        <v>0</v>
      </c>
      <c r="F32" s="149">
        <f>C8/9</f>
        <v>0.16</v>
      </c>
      <c r="G32" s="139">
        <f t="shared" si="2"/>
        <v>0.16</v>
      </c>
      <c r="H32" s="141">
        <f t="shared" si="3"/>
        <v>6.6531999999999092E-2</v>
      </c>
      <c r="I32" s="142">
        <f t="shared" si="0"/>
        <v>0</v>
      </c>
      <c r="J32" s="142">
        <f t="shared" si="1"/>
        <v>6.6531999999999092E-2</v>
      </c>
    </row>
    <row r="33" spans="2:10" x14ac:dyDescent="0.2">
      <c r="B33" s="49">
        <v>2027</v>
      </c>
      <c r="C33" s="146">
        <v>46296</v>
      </c>
      <c r="D33" s="149">
        <f>C2*25%</f>
        <v>3.9424999999999999</v>
      </c>
      <c r="E33" s="161">
        <f t="shared" si="4"/>
        <v>3.9424999999999999</v>
      </c>
      <c r="F33" s="149">
        <f>C8/9</f>
        <v>0.16</v>
      </c>
      <c r="G33" s="139">
        <f t="shared" si="2"/>
        <v>0.16</v>
      </c>
      <c r="H33" s="141">
        <f t="shared" si="3"/>
        <v>3.8490319999999989</v>
      </c>
      <c r="I33" s="142">
        <f t="shared" si="0"/>
        <v>0</v>
      </c>
      <c r="J33" s="142">
        <f t="shared" si="1"/>
        <v>3.8490319999999989</v>
      </c>
    </row>
    <row r="34" spans="2:10" x14ac:dyDescent="0.2">
      <c r="B34" s="49">
        <v>2027</v>
      </c>
      <c r="C34" s="146">
        <v>46327</v>
      </c>
      <c r="D34" s="149">
        <f>C3/100%/6</f>
        <v>0.31666666666666665</v>
      </c>
      <c r="E34" s="161">
        <f t="shared" si="4"/>
        <v>0.31666666666666665</v>
      </c>
      <c r="F34" s="140">
        <f>C12+C9/36</f>
        <v>4.8233333333333336E-2</v>
      </c>
      <c r="G34" s="139">
        <f t="shared" si="2"/>
        <v>4.8233333333333336E-2</v>
      </c>
      <c r="H34" s="141">
        <f t="shared" si="3"/>
        <v>4.1174653333333318</v>
      </c>
      <c r="I34" s="142">
        <f t="shared" si="0"/>
        <v>0</v>
      </c>
      <c r="J34" s="142">
        <f t="shared" si="1"/>
        <v>4.1174653333333318</v>
      </c>
    </row>
    <row r="35" spans="2:10" x14ac:dyDescent="0.2">
      <c r="B35" s="49">
        <v>2027</v>
      </c>
      <c r="C35" s="146">
        <v>46357</v>
      </c>
      <c r="D35" s="36"/>
      <c r="E35" s="161">
        <f t="shared" si="4"/>
        <v>0</v>
      </c>
      <c r="F35" s="149">
        <f>$C$9/36</f>
        <v>0.04</v>
      </c>
      <c r="G35" s="139">
        <f t="shared" si="2"/>
        <v>0.04</v>
      </c>
      <c r="H35" s="141">
        <f t="shared" si="3"/>
        <v>4.0774653333333317</v>
      </c>
      <c r="I35" s="142">
        <f t="shared" si="0"/>
        <v>0</v>
      </c>
      <c r="J35" s="142">
        <f t="shared" si="1"/>
        <v>4.0774653333333317</v>
      </c>
    </row>
    <row r="36" spans="2:10" x14ac:dyDescent="0.2">
      <c r="B36" s="49">
        <v>2027</v>
      </c>
      <c r="C36" s="146">
        <v>46388</v>
      </c>
      <c r="D36" s="36"/>
      <c r="E36" s="161">
        <f t="shared" si="4"/>
        <v>0</v>
      </c>
      <c r="F36" s="149">
        <f t="shared" ref="F36:F69" si="5">$C$9/36</f>
        <v>0.04</v>
      </c>
      <c r="G36" s="139">
        <f t="shared" si="2"/>
        <v>0.04</v>
      </c>
      <c r="H36" s="141">
        <f t="shared" si="3"/>
        <v>4.0374653333333317</v>
      </c>
      <c r="I36" s="142">
        <f t="shared" si="0"/>
        <v>0</v>
      </c>
      <c r="J36" s="142">
        <f t="shared" si="1"/>
        <v>4.0374653333333317</v>
      </c>
    </row>
    <row r="37" spans="2:10" x14ac:dyDescent="0.2">
      <c r="B37" s="49">
        <v>2027</v>
      </c>
      <c r="C37" s="146">
        <v>46419</v>
      </c>
      <c r="D37" s="36"/>
      <c r="E37" s="161">
        <f t="shared" si="4"/>
        <v>0</v>
      </c>
      <c r="F37" s="149">
        <f t="shared" si="5"/>
        <v>0.04</v>
      </c>
      <c r="G37" s="139">
        <f t="shared" si="2"/>
        <v>0.04</v>
      </c>
      <c r="H37" s="141">
        <f t="shared" si="3"/>
        <v>3.9974653333333316</v>
      </c>
      <c r="I37" s="142">
        <f t="shared" si="0"/>
        <v>0</v>
      </c>
      <c r="J37" s="142">
        <f t="shared" si="1"/>
        <v>3.9974653333333316</v>
      </c>
    </row>
    <row r="38" spans="2:10" x14ac:dyDescent="0.2">
      <c r="B38" s="49">
        <v>2027</v>
      </c>
      <c r="C38" s="147">
        <v>46447</v>
      </c>
      <c r="D38" s="36"/>
      <c r="E38" s="161">
        <f t="shared" si="4"/>
        <v>0</v>
      </c>
      <c r="F38" s="149">
        <f t="shared" si="5"/>
        <v>0.04</v>
      </c>
      <c r="G38" s="139">
        <f t="shared" si="2"/>
        <v>0.04</v>
      </c>
      <c r="H38" s="141">
        <f t="shared" si="3"/>
        <v>3.9574653333333316</v>
      </c>
      <c r="I38" s="142">
        <f t="shared" si="0"/>
        <v>0</v>
      </c>
      <c r="J38" s="142">
        <f t="shared" si="1"/>
        <v>3.9574653333333316</v>
      </c>
    </row>
    <row r="39" spans="2:10" x14ac:dyDescent="0.2">
      <c r="B39" s="49">
        <v>2028</v>
      </c>
      <c r="C39" s="147">
        <v>46478</v>
      </c>
      <c r="D39" s="36"/>
      <c r="E39" s="161">
        <f t="shared" si="4"/>
        <v>0</v>
      </c>
      <c r="F39" s="149">
        <f t="shared" si="5"/>
        <v>0.04</v>
      </c>
      <c r="G39" s="139">
        <f t="shared" si="2"/>
        <v>0.04</v>
      </c>
      <c r="H39" s="141">
        <f t="shared" si="3"/>
        <v>3.9174653333333316</v>
      </c>
      <c r="I39" s="142">
        <f t="shared" si="0"/>
        <v>0</v>
      </c>
      <c r="J39" s="142">
        <f t="shared" si="1"/>
        <v>3.9174653333333316</v>
      </c>
    </row>
    <row r="40" spans="2:10" x14ac:dyDescent="0.2">
      <c r="B40" s="49">
        <v>2028</v>
      </c>
      <c r="C40" s="147">
        <v>46508</v>
      </c>
      <c r="D40" s="36"/>
      <c r="E40" s="161">
        <f t="shared" si="4"/>
        <v>0</v>
      </c>
      <c r="F40" s="149">
        <f t="shared" si="5"/>
        <v>0.04</v>
      </c>
      <c r="G40" s="139">
        <f t="shared" si="2"/>
        <v>0.04</v>
      </c>
      <c r="H40" s="141">
        <f t="shared" si="3"/>
        <v>3.8774653333333315</v>
      </c>
      <c r="I40" s="142">
        <f t="shared" si="0"/>
        <v>0</v>
      </c>
      <c r="J40" s="142">
        <f t="shared" si="1"/>
        <v>3.8774653333333315</v>
      </c>
    </row>
    <row r="41" spans="2:10" x14ac:dyDescent="0.2">
      <c r="B41" s="49">
        <v>2028</v>
      </c>
      <c r="C41" s="147">
        <v>46539</v>
      </c>
      <c r="D41" s="36"/>
      <c r="E41" s="161">
        <f t="shared" si="4"/>
        <v>0</v>
      </c>
      <c r="F41" s="149">
        <f t="shared" si="5"/>
        <v>0.04</v>
      </c>
      <c r="G41" s="139">
        <f t="shared" si="2"/>
        <v>0.04</v>
      </c>
      <c r="H41" s="141">
        <f t="shared" si="3"/>
        <v>3.8374653333333315</v>
      </c>
      <c r="I41" s="142">
        <f t="shared" si="0"/>
        <v>0</v>
      </c>
      <c r="J41" s="142">
        <f t="shared" si="1"/>
        <v>3.8374653333333315</v>
      </c>
    </row>
    <row r="42" spans="2:10" x14ac:dyDescent="0.2">
      <c r="B42" s="49">
        <v>2028</v>
      </c>
      <c r="C42" s="146">
        <v>46569</v>
      </c>
      <c r="D42" s="36"/>
      <c r="E42" s="161">
        <f t="shared" si="4"/>
        <v>0</v>
      </c>
      <c r="F42" s="149">
        <f t="shared" si="5"/>
        <v>0.04</v>
      </c>
      <c r="G42" s="139">
        <f t="shared" si="2"/>
        <v>0.04</v>
      </c>
      <c r="H42" s="141">
        <f t="shared" si="3"/>
        <v>3.7974653333333315</v>
      </c>
      <c r="I42" s="142">
        <f t="shared" si="0"/>
        <v>0</v>
      </c>
      <c r="J42" s="142">
        <f t="shared" si="1"/>
        <v>3.7974653333333315</v>
      </c>
    </row>
    <row r="43" spans="2:10" x14ac:dyDescent="0.2">
      <c r="B43" s="49">
        <v>2028</v>
      </c>
      <c r="C43" s="146">
        <v>46600</v>
      </c>
      <c r="D43" s="36"/>
      <c r="E43" s="161">
        <f t="shared" si="4"/>
        <v>0</v>
      </c>
      <c r="F43" s="149">
        <f t="shared" si="5"/>
        <v>0.04</v>
      </c>
      <c r="G43" s="139">
        <f t="shared" si="2"/>
        <v>0.04</v>
      </c>
      <c r="H43" s="141">
        <f t="shared" si="3"/>
        <v>3.7574653333333314</v>
      </c>
      <c r="I43" s="142">
        <f t="shared" si="0"/>
        <v>0</v>
      </c>
      <c r="J43" s="142">
        <f t="shared" si="1"/>
        <v>3.7574653333333314</v>
      </c>
    </row>
    <row r="44" spans="2:10" x14ac:dyDescent="0.2">
      <c r="B44" s="49">
        <v>2028</v>
      </c>
      <c r="C44" s="146">
        <v>46631</v>
      </c>
      <c r="D44" s="36"/>
      <c r="E44" s="161">
        <f t="shared" si="4"/>
        <v>0</v>
      </c>
      <c r="F44" s="149">
        <f t="shared" si="5"/>
        <v>0.04</v>
      </c>
      <c r="G44" s="139">
        <f t="shared" si="2"/>
        <v>0.04</v>
      </c>
      <c r="H44" s="141">
        <f t="shared" si="3"/>
        <v>3.7174653333333314</v>
      </c>
      <c r="I44" s="142">
        <f t="shared" si="0"/>
        <v>0</v>
      </c>
      <c r="J44" s="142">
        <f t="shared" si="1"/>
        <v>3.7174653333333314</v>
      </c>
    </row>
    <row r="45" spans="2:10" x14ac:dyDescent="0.2">
      <c r="B45" s="49">
        <v>2028</v>
      </c>
      <c r="C45" s="146">
        <v>46661</v>
      </c>
      <c r="D45" s="149">
        <f>C2*5%</f>
        <v>0.78849999999999998</v>
      </c>
      <c r="E45" s="161">
        <f t="shared" si="4"/>
        <v>0.78849999999999998</v>
      </c>
      <c r="F45" s="149">
        <f t="shared" si="5"/>
        <v>0.04</v>
      </c>
      <c r="G45" s="139">
        <f t="shared" si="2"/>
        <v>0.04</v>
      </c>
      <c r="H45" s="141">
        <f t="shared" si="3"/>
        <v>4.4659653333333313</v>
      </c>
      <c r="I45" s="142">
        <f t="shared" si="0"/>
        <v>0</v>
      </c>
      <c r="J45" s="142">
        <f t="shared" si="1"/>
        <v>4.4659653333333313</v>
      </c>
    </row>
    <row r="46" spans="2:10" x14ac:dyDescent="0.2">
      <c r="B46" s="49">
        <v>2028</v>
      </c>
      <c r="C46" s="146">
        <v>46692</v>
      </c>
      <c r="D46" s="149">
        <f>C3*100%/3</f>
        <v>0.6333333333333333</v>
      </c>
      <c r="E46" s="161">
        <f t="shared" si="4"/>
        <v>0.6333333333333333</v>
      </c>
      <c r="F46" s="149">
        <f t="shared" si="5"/>
        <v>0.04</v>
      </c>
      <c r="G46" s="139">
        <f t="shared" si="2"/>
        <v>0.04</v>
      </c>
      <c r="H46" s="141">
        <f t="shared" ref="H46:H71" si="6">E46-G46+J45</f>
        <v>5.0592986666666651</v>
      </c>
      <c r="I46" s="142">
        <f t="shared" si="0"/>
        <v>0</v>
      </c>
      <c r="J46" s="142">
        <f t="shared" si="1"/>
        <v>5.0592986666666651</v>
      </c>
    </row>
    <row r="47" spans="2:10" x14ac:dyDescent="0.2">
      <c r="B47" s="49">
        <v>2028</v>
      </c>
      <c r="C47" s="146">
        <v>46722</v>
      </c>
      <c r="D47" s="36"/>
      <c r="E47" s="162"/>
      <c r="F47" s="149">
        <f t="shared" si="5"/>
        <v>0.04</v>
      </c>
      <c r="G47" s="139">
        <f t="shared" si="2"/>
        <v>0.04</v>
      </c>
      <c r="H47" s="141">
        <f t="shared" si="6"/>
        <v>5.019298666666665</v>
      </c>
      <c r="I47" s="142">
        <f t="shared" si="0"/>
        <v>0</v>
      </c>
      <c r="J47" s="142">
        <f t="shared" si="1"/>
        <v>5.019298666666665</v>
      </c>
    </row>
    <row r="48" spans="2:10" x14ac:dyDescent="0.2">
      <c r="B48" s="49">
        <v>2028</v>
      </c>
      <c r="C48" s="146">
        <v>46753</v>
      </c>
      <c r="D48" s="36"/>
      <c r="E48" s="162"/>
      <c r="F48" s="149">
        <f t="shared" si="5"/>
        <v>0.04</v>
      </c>
      <c r="G48" s="139">
        <f t="shared" si="2"/>
        <v>0.04</v>
      </c>
      <c r="H48" s="141">
        <f t="shared" si="6"/>
        <v>4.979298666666665</v>
      </c>
      <c r="I48" s="142">
        <f t="shared" si="0"/>
        <v>0</v>
      </c>
      <c r="J48" s="142">
        <f t="shared" si="1"/>
        <v>4.979298666666665</v>
      </c>
    </row>
    <row r="49" spans="2:10" x14ac:dyDescent="0.2">
      <c r="B49" s="49">
        <v>2028</v>
      </c>
      <c r="C49" s="146">
        <v>46784</v>
      </c>
      <c r="D49" s="36"/>
      <c r="E49" s="162"/>
      <c r="F49" s="149">
        <f t="shared" si="5"/>
        <v>0.04</v>
      </c>
      <c r="G49" s="139">
        <f t="shared" si="2"/>
        <v>0.04</v>
      </c>
      <c r="H49" s="141">
        <f t="shared" si="6"/>
        <v>4.9392986666666649</v>
      </c>
      <c r="I49" s="142">
        <f t="shared" si="0"/>
        <v>0</v>
      </c>
      <c r="J49" s="142">
        <f t="shared" si="1"/>
        <v>4.9392986666666649</v>
      </c>
    </row>
    <row r="50" spans="2:10" x14ac:dyDescent="0.2">
      <c r="B50" s="49">
        <v>2028</v>
      </c>
      <c r="C50" s="147">
        <v>46813</v>
      </c>
      <c r="D50" s="36"/>
      <c r="E50" s="162"/>
      <c r="F50" s="149">
        <f t="shared" si="5"/>
        <v>0.04</v>
      </c>
      <c r="G50" s="139">
        <f t="shared" si="2"/>
        <v>0.04</v>
      </c>
      <c r="H50" s="141">
        <f t="shared" si="6"/>
        <v>4.8992986666666649</v>
      </c>
      <c r="I50" s="142">
        <f t="shared" si="0"/>
        <v>0</v>
      </c>
      <c r="J50" s="142">
        <f t="shared" si="1"/>
        <v>4.8992986666666649</v>
      </c>
    </row>
    <row r="51" spans="2:10" x14ac:dyDescent="0.2">
      <c r="B51" s="49">
        <v>2029</v>
      </c>
      <c r="C51" s="147">
        <v>46844</v>
      </c>
      <c r="D51" s="36"/>
      <c r="E51" s="162"/>
      <c r="F51" s="149">
        <f t="shared" si="5"/>
        <v>0.04</v>
      </c>
      <c r="G51" s="139">
        <f t="shared" si="2"/>
        <v>0.04</v>
      </c>
      <c r="H51" s="141">
        <f t="shared" si="6"/>
        <v>4.8592986666666649</v>
      </c>
      <c r="I51" s="142">
        <f t="shared" si="0"/>
        <v>0</v>
      </c>
      <c r="J51" s="142">
        <f t="shared" si="1"/>
        <v>4.8592986666666649</v>
      </c>
    </row>
    <row r="52" spans="2:10" x14ac:dyDescent="0.2">
      <c r="B52" s="49">
        <v>2029</v>
      </c>
      <c r="C52" s="147">
        <v>46874</v>
      </c>
      <c r="D52" s="36"/>
      <c r="E52" s="162"/>
      <c r="F52" s="149">
        <f t="shared" si="5"/>
        <v>0.04</v>
      </c>
      <c r="G52" s="139">
        <f t="shared" si="2"/>
        <v>0.04</v>
      </c>
      <c r="H52" s="141">
        <f t="shared" si="6"/>
        <v>4.8192986666666648</v>
      </c>
      <c r="I52" s="142">
        <f t="shared" si="0"/>
        <v>0</v>
      </c>
      <c r="J52" s="142">
        <f t="shared" si="1"/>
        <v>4.8192986666666648</v>
      </c>
    </row>
    <row r="53" spans="2:10" x14ac:dyDescent="0.2">
      <c r="B53" s="49">
        <v>2029</v>
      </c>
      <c r="C53" s="147">
        <v>46905</v>
      </c>
      <c r="D53" s="36"/>
      <c r="E53" s="162"/>
      <c r="F53" s="149">
        <f t="shared" si="5"/>
        <v>0.04</v>
      </c>
      <c r="G53" s="139">
        <f t="shared" si="2"/>
        <v>0.04</v>
      </c>
      <c r="H53" s="141">
        <f t="shared" si="6"/>
        <v>4.7792986666666648</v>
      </c>
      <c r="I53" s="142">
        <f t="shared" si="0"/>
        <v>0</v>
      </c>
      <c r="J53" s="142">
        <f t="shared" si="1"/>
        <v>4.7792986666666648</v>
      </c>
    </row>
    <row r="54" spans="2:10" x14ac:dyDescent="0.2">
      <c r="B54" s="49">
        <v>2029</v>
      </c>
      <c r="C54" s="146">
        <v>46935</v>
      </c>
      <c r="D54" s="36"/>
      <c r="E54" s="162"/>
      <c r="F54" s="149">
        <f t="shared" si="5"/>
        <v>0.04</v>
      </c>
      <c r="G54" s="139">
        <f t="shared" si="2"/>
        <v>0.04</v>
      </c>
      <c r="H54" s="141">
        <f t="shared" si="6"/>
        <v>4.7392986666666648</v>
      </c>
      <c r="I54" s="142">
        <f t="shared" si="0"/>
        <v>0</v>
      </c>
      <c r="J54" s="142">
        <f t="shared" si="1"/>
        <v>4.7392986666666648</v>
      </c>
    </row>
    <row r="55" spans="2:10" x14ac:dyDescent="0.2">
      <c r="B55" s="49">
        <v>2029</v>
      </c>
      <c r="C55" s="146">
        <v>46966</v>
      </c>
      <c r="D55" s="36"/>
      <c r="E55" s="162"/>
      <c r="F55" s="149">
        <f t="shared" si="5"/>
        <v>0.04</v>
      </c>
      <c r="G55" s="139">
        <f t="shared" si="2"/>
        <v>0.04</v>
      </c>
      <c r="H55" s="141">
        <f t="shared" si="6"/>
        <v>4.6992986666666647</v>
      </c>
      <c r="I55" s="142">
        <f t="shared" si="0"/>
        <v>0</v>
      </c>
      <c r="J55" s="142">
        <f t="shared" si="1"/>
        <v>4.6992986666666647</v>
      </c>
    </row>
    <row r="56" spans="2:10" x14ac:dyDescent="0.2">
      <c r="B56" s="49">
        <v>2029</v>
      </c>
      <c r="C56" s="146">
        <v>46997</v>
      </c>
      <c r="D56" s="36"/>
      <c r="E56" s="162"/>
      <c r="F56" s="149">
        <f t="shared" si="5"/>
        <v>0.04</v>
      </c>
      <c r="G56" s="139">
        <f t="shared" si="2"/>
        <v>0.04</v>
      </c>
      <c r="H56" s="141">
        <f t="shared" si="6"/>
        <v>4.6592986666666647</v>
      </c>
      <c r="I56" s="142">
        <f t="shared" si="0"/>
        <v>0</v>
      </c>
      <c r="J56" s="142">
        <f t="shared" si="1"/>
        <v>4.6592986666666647</v>
      </c>
    </row>
    <row r="57" spans="2:10" x14ac:dyDescent="0.2">
      <c r="B57" s="49">
        <v>2029</v>
      </c>
      <c r="C57" s="146">
        <v>47027</v>
      </c>
      <c r="D57" s="36"/>
      <c r="E57" s="162"/>
      <c r="F57" s="149">
        <f t="shared" si="5"/>
        <v>0.04</v>
      </c>
      <c r="G57" s="139">
        <f t="shared" si="2"/>
        <v>0.04</v>
      </c>
      <c r="H57" s="141">
        <f t="shared" si="6"/>
        <v>4.6192986666666647</v>
      </c>
      <c r="I57" s="142">
        <f t="shared" si="0"/>
        <v>0</v>
      </c>
      <c r="J57" s="142">
        <f t="shared" si="1"/>
        <v>4.6192986666666647</v>
      </c>
    </row>
    <row r="58" spans="2:10" x14ac:dyDescent="0.2">
      <c r="B58" s="49">
        <v>2029</v>
      </c>
      <c r="C58" s="146">
        <v>47058</v>
      </c>
      <c r="D58" s="149">
        <f>C3/100%/3</f>
        <v>0.6333333333333333</v>
      </c>
      <c r="E58" s="161">
        <f t="shared" ref="E58" si="7">D58</f>
        <v>0.6333333333333333</v>
      </c>
      <c r="F58" s="149">
        <f t="shared" si="5"/>
        <v>0.04</v>
      </c>
      <c r="G58" s="139">
        <f t="shared" si="2"/>
        <v>0.04</v>
      </c>
      <c r="H58" s="141">
        <f t="shared" si="6"/>
        <v>5.2126319999999975</v>
      </c>
      <c r="I58" s="142">
        <f t="shared" si="0"/>
        <v>0</v>
      </c>
      <c r="J58" s="142">
        <f t="shared" si="1"/>
        <v>5.2126319999999975</v>
      </c>
    </row>
    <row r="59" spans="2:10" x14ac:dyDescent="0.2">
      <c r="B59" s="49">
        <v>2029</v>
      </c>
      <c r="C59" s="146">
        <v>47088</v>
      </c>
      <c r="D59" s="36"/>
      <c r="E59" s="162"/>
      <c r="F59" s="149">
        <f t="shared" si="5"/>
        <v>0.04</v>
      </c>
      <c r="G59" s="139">
        <f t="shared" si="2"/>
        <v>0.04</v>
      </c>
      <c r="H59" s="141">
        <f t="shared" si="6"/>
        <v>5.1726319999999975</v>
      </c>
      <c r="I59" s="142">
        <f t="shared" si="0"/>
        <v>0</v>
      </c>
      <c r="J59" s="142">
        <f t="shared" si="1"/>
        <v>5.1726319999999975</v>
      </c>
    </row>
    <row r="60" spans="2:10" x14ac:dyDescent="0.2">
      <c r="B60" s="49">
        <v>2029</v>
      </c>
      <c r="C60" s="146">
        <v>47119</v>
      </c>
      <c r="D60" s="36"/>
      <c r="E60" s="162"/>
      <c r="F60" s="149">
        <f t="shared" si="5"/>
        <v>0.04</v>
      </c>
      <c r="G60" s="139">
        <f t="shared" si="2"/>
        <v>0.04</v>
      </c>
      <c r="H60" s="141">
        <f t="shared" si="6"/>
        <v>5.1326319999999974</v>
      </c>
      <c r="I60" s="142">
        <f t="shared" si="0"/>
        <v>0</v>
      </c>
      <c r="J60" s="142">
        <f t="shared" si="1"/>
        <v>5.1326319999999974</v>
      </c>
    </row>
    <row r="61" spans="2:10" x14ac:dyDescent="0.2">
      <c r="B61" s="49">
        <v>2029</v>
      </c>
      <c r="C61" s="146">
        <v>47150</v>
      </c>
      <c r="D61" s="36"/>
      <c r="E61" s="162"/>
      <c r="F61" s="149">
        <f t="shared" si="5"/>
        <v>0.04</v>
      </c>
      <c r="G61" s="139">
        <f t="shared" si="2"/>
        <v>0.04</v>
      </c>
      <c r="H61" s="141">
        <f t="shared" si="6"/>
        <v>5.0926319999999974</v>
      </c>
      <c r="I61" s="142">
        <f t="shared" si="0"/>
        <v>0</v>
      </c>
      <c r="J61" s="142">
        <f t="shared" si="1"/>
        <v>5.0926319999999974</v>
      </c>
    </row>
    <row r="62" spans="2:10" x14ac:dyDescent="0.2">
      <c r="B62" s="49">
        <v>2029</v>
      </c>
      <c r="C62" s="147">
        <v>47178</v>
      </c>
      <c r="D62" s="36"/>
      <c r="E62" s="162"/>
      <c r="F62" s="149">
        <f t="shared" si="5"/>
        <v>0.04</v>
      </c>
      <c r="G62" s="139">
        <f t="shared" si="2"/>
        <v>0.04</v>
      </c>
      <c r="H62" s="141">
        <f t="shared" si="6"/>
        <v>5.0526319999999973</v>
      </c>
      <c r="I62" s="142">
        <f t="shared" si="0"/>
        <v>0</v>
      </c>
      <c r="J62" s="142">
        <f t="shared" si="1"/>
        <v>5.0526319999999973</v>
      </c>
    </row>
    <row r="63" spans="2:10" x14ac:dyDescent="0.2">
      <c r="B63" s="49">
        <v>2030</v>
      </c>
      <c r="C63" s="147">
        <v>47209</v>
      </c>
      <c r="D63" s="36"/>
      <c r="E63" s="162"/>
      <c r="F63" s="149">
        <f t="shared" si="5"/>
        <v>0.04</v>
      </c>
      <c r="G63" s="139">
        <f t="shared" si="2"/>
        <v>0.04</v>
      </c>
      <c r="H63" s="141">
        <f t="shared" si="6"/>
        <v>5.0126319999999973</v>
      </c>
      <c r="I63" s="142">
        <f t="shared" si="0"/>
        <v>0</v>
      </c>
      <c r="J63" s="142">
        <f t="shared" si="1"/>
        <v>5.0126319999999973</v>
      </c>
    </row>
    <row r="64" spans="2:10" x14ac:dyDescent="0.2">
      <c r="B64" s="49">
        <v>2030</v>
      </c>
      <c r="C64" s="147">
        <v>47239</v>
      </c>
      <c r="D64" s="36"/>
      <c r="E64" s="162"/>
      <c r="F64" s="149">
        <f t="shared" si="5"/>
        <v>0.04</v>
      </c>
      <c r="G64" s="139">
        <f t="shared" si="2"/>
        <v>0.04</v>
      </c>
      <c r="H64" s="141">
        <f t="shared" si="6"/>
        <v>4.9726319999999973</v>
      </c>
      <c r="I64" s="142">
        <f t="shared" si="0"/>
        <v>0</v>
      </c>
      <c r="J64" s="142">
        <f t="shared" si="1"/>
        <v>4.9726319999999973</v>
      </c>
    </row>
    <row r="65" spans="2:10" x14ac:dyDescent="0.2">
      <c r="B65" s="49">
        <v>2030</v>
      </c>
      <c r="C65" s="147">
        <v>47270</v>
      </c>
      <c r="D65" s="36"/>
      <c r="E65" s="162"/>
      <c r="F65" s="149">
        <f t="shared" si="5"/>
        <v>0.04</v>
      </c>
      <c r="G65" s="139">
        <f t="shared" si="2"/>
        <v>0.04</v>
      </c>
      <c r="H65" s="141">
        <f t="shared" si="6"/>
        <v>4.9326319999999972</v>
      </c>
      <c r="I65" s="142">
        <f t="shared" si="0"/>
        <v>0</v>
      </c>
      <c r="J65" s="142">
        <f t="shared" si="1"/>
        <v>4.9326319999999972</v>
      </c>
    </row>
    <row r="66" spans="2:10" x14ac:dyDescent="0.2">
      <c r="B66" s="49">
        <v>2030</v>
      </c>
      <c r="C66" s="146">
        <v>47300</v>
      </c>
      <c r="D66" s="36"/>
      <c r="E66" s="162"/>
      <c r="F66" s="149">
        <f t="shared" si="5"/>
        <v>0.04</v>
      </c>
      <c r="G66" s="139">
        <f t="shared" si="2"/>
        <v>0.04</v>
      </c>
      <c r="H66" s="141">
        <f t="shared" si="6"/>
        <v>4.8926319999999972</v>
      </c>
      <c r="I66" s="142">
        <f t="shared" si="0"/>
        <v>0</v>
      </c>
      <c r="J66" s="142">
        <f t="shared" si="1"/>
        <v>4.8926319999999972</v>
      </c>
    </row>
    <row r="67" spans="2:10" x14ac:dyDescent="0.2">
      <c r="B67" s="49">
        <v>2030</v>
      </c>
      <c r="C67" s="146">
        <v>47331</v>
      </c>
      <c r="D67" s="36"/>
      <c r="E67" s="162"/>
      <c r="F67" s="149">
        <f t="shared" si="5"/>
        <v>0.04</v>
      </c>
      <c r="G67" s="139">
        <f t="shared" si="2"/>
        <v>0.04</v>
      </c>
      <c r="H67" s="141">
        <f t="shared" si="6"/>
        <v>4.8526319999999972</v>
      </c>
      <c r="I67" s="142">
        <f t="shared" si="0"/>
        <v>0</v>
      </c>
      <c r="J67" s="142">
        <f t="shared" si="1"/>
        <v>4.8526319999999972</v>
      </c>
    </row>
    <row r="68" spans="2:10" x14ac:dyDescent="0.2">
      <c r="B68" s="49">
        <v>2030</v>
      </c>
      <c r="C68" s="146">
        <v>47362</v>
      </c>
      <c r="D68" s="36"/>
      <c r="E68" s="162"/>
      <c r="F68" s="149">
        <f t="shared" si="5"/>
        <v>0.04</v>
      </c>
      <c r="G68" s="139">
        <f t="shared" si="2"/>
        <v>0.04</v>
      </c>
      <c r="H68" s="141">
        <f t="shared" si="6"/>
        <v>4.8126319999999971</v>
      </c>
      <c r="I68" s="142">
        <f t="shared" si="0"/>
        <v>0</v>
      </c>
      <c r="J68" s="142">
        <f t="shared" si="1"/>
        <v>4.8126319999999971</v>
      </c>
    </row>
    <row r="69" spans="2:10" x14ac:dyDescent="0.2">
      <c r="B69" s="49">
        <v>2030</v>
      </c>
      <c r="C69" s="146">
        <v>47392</v>
      </c>
      <c r="D69" s="36"/>
      <c r="E69" s="162"/>
      <c r="F69" s="149">
        <f t="shared" si="5"/>
        <v>0.04</v>
      </c>
      <c r="G69" s="139">
        <f t="shared" si="2"/>
        <v>0.04</v>
      </c>
      <c r="H69" s="141">
        <f t="shared" si="6"/>
        <v>4.7726319999999971</v>
      </c>
      <c r="I69" s="142">
        <f t="shared" si="0"/>
        <v>0</v>
      </c>
      <c r="J69" s="142">
        <f t="shared" si="1"/>
        <v>4.7726319999999971</v>
      </c>
    </row>
    <row r="70" spans="2:10" x14ac:dyDescent="0.2">
      <c r="B70" s="49">
        <v>2030</v>
      </c>
      <c r="C70" s="146">
        <v>47423</v>
      </c>
      <c r="D70" s="149">
        <f>C3/100%/6</f>
        <v>0.31666666666666665</v>
      </c>
      <c r="E70" s="161">
        <f t="shared" ref="E70" si="8">D70</f>
        <v>0.31666666666666665</v>
      </c>
      <c r="F70" s="36"/>
      <c r="G70" s="139">
        <f t="shared" si="2"/>
        <v>0</v>
      </c>
      <c r="H70" s="141">
        <f t="shared" si="6"/>
        <v>5.0892986666666635</v>
      </c>
      <c r="I70" s="142">
        <f t="shared" si="0"/>
        <v>0</v>
      </c>
      <c r="J70" s="142">
        <f t="shared" si="1"/>
        <v>5.0892986666666635</v>
      </c>
    </row>
    <row r="71" spans="2:10" x14ac:dyDescent="0.2">
      <c r="B71" s="49">
        <v>2030</v>
      </c>
      <c r="C71" s="146">
        <v>47453</v>
      </c>
      <c r="D71" s="36"/>
      <c r="E71" s="162"/>
      <c r="F71" s="36"/>
      <c r="G71" s="139">
        <f t="shared" si="2"/>
        <v>0</v>
      </c>
      <c r="H71" s="141">
        <f t="shared" si="6"/>
        <v>5.0892986666666635</v>
      </c>
      <c r="I71" s="148"/>
      <c r="J71" s="142">
        <f t="shared" si="1"/>
        <v>5.0892986666666635</v>
      </c>
    </row>
    <row r="72" spans="2:10" x14ac:dyDescent="0.2">
      <c r="B72" s="49" t="s">
        <v>58</v>
      </c>
      <c r="C72" s="49"/>
      <c r="D72" s="36"/>
      <c r="E72" s="163">
        <f>SUM(E25:E71)</f>
        <v>17.669999999999998</v>
      </c>
      <c r="F72" s="36"/>
      <c r="G72" s="163">
        <f>SUM(G25:G71)</f>
        <v>12.580701333333305</v>
      </c>
      <c r="H72" s="36"/>
      <c r="I72" s="36"/>
      <c r="J72" s="36"/>
    </row>
    <row r="1048576" spans="2:2" x14ac:dyDescent="0.2">
      <c r="B1048576" s="49"/>
    </row>
  </sheetData>
  <mergeCells count="5">
    <mergeCell ref="B22:B23"/>
    <mergeCell ref="C22:C23"/>
    <mergeCell ref="D22:E22"/>
    <mergeCell ref="F22:G22"/>
    <mergeCell ref="H22:J22"/>
  </mergeCells>
  <phoneticPr fontId="29"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19"/>
  <sheetViews>
    <sheetView topLeftCell="A4" zoomScaleNormal="100" workbookViewId="0">
      <selection activeCell="D7" sqref="D7"/>
    </sheetView>
  </sheetViews>
  <sheetFormatPr baseColWidth="10" defaultColWidth="8.83203125" defaultRowHeight="15" x14ac:dyDescent="0.2"/>
  <cols>
    <col min="1" max="1" width="8.83203125" style="9"/>
    <col min="2" max="2" width="11.6640625" style="9" customWidth="1"/>
    <col min="3" max="3" width="63.5" style="9" customWidth="1"/>
    <col min="4" max="4" width="18.33203125" style="9" bestFit="1" customWidth="1"/>
    <col min="5" max="5" width="8.83203125" style="9"/>
    <col min="6" max="6" width="17.6640625" style="9" customWidth="1"/>
    <col min="7" max="7" width="16" style="9" customWidth="1"/>
    <col min="8" max="8" width="18.6640625" style="9" customWidth="1"/>
    <col min="9" max="16384" width="8.83203125" style="9"/>
  </cols>
  <sheetData>
    <row r="2" spans="2:8" x14ac:dyDescent="0.2">
      <c r="D2" s="85"/>
    </row>
    <row r="3" spans="2:8" x14ac:dyDescent="0.2">
      <c r="B3" s="169" t="s">
        <v>282</v>
      </c>
      <c r="C3" s="169"/>
      <c r="D3" s="169"/>
    </row>
    <row r="4" spans="2:8" ht="16" x14ac:dyDescent="0.2">
      <c r="B4" s="51" t="s">
        <v>48</v>
      </c>
      <c r="C4" s="52" t="s">
        <v>49</v>
      </c>
      <c r="D4" s="53" t="s">
        <v>50</v>
      </c>
      <c r="F4" s="108" t="s">
        <v>380</v>
      </c>
      <c r="G4" s="108" t="s">
        <v>379</v>
      </c>
      <c r="H4" s="108" t="s">
        <v>381</v>
      </c>
    </row>
    <row r="5" spans="2:8" ht="16" x14ac:dyDescent="0.2">
      <c r="B5" s="35" t="s">
        <v>51</v>
      </c>
      <c r="C5" s="10" t="s">
        <v>313</v>
      </c>
      <c r="D5" s="11">
        <f>'IT Components'!G27</f>
        <v>101826890</v>
      </c>
      <c r="F5" s="103">
        <f>'IT Components'!K27</f>
        <v>69839137</v>
      </c>
      <c r="G5" s="101">
        <v>0</v>
      </c>
      <c r="H5" s="102">
        <f>F5+G5</f>
        <v>69839137</v>
      </c>
    </row>
    <row r="6" spans="2:8" ht="32" x14ac:dyDescent="0.2">
      <c r="B6" s="35" t="s">
        <v>52</v>
      </c>
      <c r="C6" s="10" t="s">
        <v>314</v>
      </c>
      <c r="D6" s="44">
        <f>' Non-IT components'!F26</f>
        <v>49066535.75</v>
      </c>
      <c r="F6" s="103">
        <f>' Non-IT components'!J28</f>
        <v>23398815</v>
      </c>
      <c r="G6" s="103">
        <v>5000000</v>
      </c>
      <c r="H6" s="102">
        <f>F6+G6</f>
        <v>28398815</v>
      </c>
    </row>
    <row r="7" spans="2:8" ht="16" x14ac:dyDescent="0.2">
      <c r="B7" s="35" t="s">
        <v>53</v>
      </c>
      <c r="C7" s="42" t="s">
        <v>315</v>
      </c>
      <c r="D7" s="43">
        <v>6800000</v>
      </c>
      <c r="F7" s="103">
        <f>D7</f>
        <v>6800000</v>
      </c>
      <c r="G7" s="101">
        <v>0</v>
      </c>
      <c r="H7" s="102">
        <f>F7+G7</f>
        <v>6800000</v>
      </c>
    </row>
    <row r="8" spans="2:8" ht="19" customHeight="1" x14ac:dyDescent="0.2">
      <c r="B8" s="35" t="s">
        <v>427</v>
      </c>
      <c r="C8" s="87" t="s">
        <v>426</v>
      </c>
      <c r="D8" s="44">
        <f>'Support 3 Years'!G5</f>
        <v>19058470</v>
      </c>
      <c r="F8" s="103">
        <f>'Support 3 Years'!K6</f>
        <v>14400000</v>
      </c>
      <c r="G8" s="101">
        <v>0</v>
      </c>
      <c r="H8" s="102">
        <f>F8+G8</f>
        <v>14400000</v>
      </c>
    </row>
    <row r="9" spans="2:8" s="59" customFormat="1" ht="16" x14ac:dyDescent="0.2">
      <c r="B9" s="60" t="s">
        <v>70</v>
      </c>
      <c r="C9" s="61" t="s">
        <v>428</v>
      </c>
      <c r="D9" s="62">
        <f>SUM(D5:D8)</f>
        <v>176751895.75</v>
      </c>
      <c r="F9" s="104">
        <f>SUM(F5:F8)</f>
        <v>114437952</v>
      </c>
      <c r="G9" s="105"/>
      <c r="H9" s="104">
        <f>SUM(H5:H8)</f>
        <v>119437952</v>
      </c>
    </row>
    <row r="10" spans="2:8" ht="17" thickBot="1" x14ac:dyDescent="0.25">
      <c r="B10" s="54" t="s">
        <v>71</v>
      </c>
      <c r="C10" s="55" t="s">
        <v>429</v>
      </c>
      <c r="D10" s="56">
        <f>D9</f>
        <v>176751895.75</v>
      </c>
      <c r="F10" s="106"/>
      <c r="G10" s="106" t="s">
        <v>382</v>
      </c>
      <c r="H10" s="107">
        <v>5000000</v>
      </c>
    </row>
    <row r="11" spans="2:8" x14ac:dyDescent="0.2">
      <c r="B11" s="170" t="s">
        <v>62</v>
      </c>
      <c r="C11" s="171"/>
      <c r="D11" s="172"/>
    </row>
    <row r="12" spans="2:8" ht="25" customHeight="1" x14ac:dyDescent="0.2">
      <c r="B12" s="173" t="s">
        <v>63</v>
      </c>
      <c r="C12" s="167" t="s">
        <v>316</v>
      </c>
      <c r="D12" s="168"/>
      <c r="G12" s="108" t="s">
        <v>16</v>
      </c>
      <c r="H12" s="109">
        <f>SUM(H9+H10)</f>
        <v>124437952</v>
      </c>
    </row>
    <row r="13" spans="2:8" ht="54" customHeight="1" x14ac:dyDescent="0.2">
      <c r="B13" s="173"/>
      <c r="C13" s="167" t="s">
        <v>317</v>
      </c>
      <c r="D13" s="168"/>
      <c r="G13" s="108" t="s">
        <v>383</v>
      </c>
      <c r="H13" s="110">
        <f>1-H12/D9</f>
        <v>0.29597387642163375</v>
      </c>
    </row>
    <row r="14" spans="2:8" ht="16" x14ac:dyDescent="0.2">
      <c r="B14" s="173"/>
      <c r="C14" s="167" t="s">
        <v>318</v>
      </c>
      <c r="D14" s="168"/>
      <c r="G14" s="111" t="s">
        <v>384</v>
      </c>
      <c r="H14" s="112">
        <f>D10-H12</f>
        <v>52313943.75</v>
      </c>
    </row>
    <row r="15" spans="2:8" ht="34" customHeight="1" x14ac:dyDescent="0.2">
      <c r="B15" s="173"/>
      <c r="C15" s="167" t="s">
        <v>319</v>
      </c>
      <c r="D15" s="168"/>
    </row>
    <row r="16" spans="2:8" ht="37.5" customHeight="1" x14ac:dyDescent="0.2">
      <c r="B16" s="173"/>
      <c r="C16" s="167" t="s">
        <v>320</v>
      </c>
      <c r="D16" s="168"/>
    </row>
    <row r="17" spans="2:4" ht="19.5" customHeight="1" x14ac:dyDescent="0.2">
      <c r="B17" s="173"/>
      <c r="C17" s="167" t="s">
        <v>322</v>
      </c>
      <c r="D17" s="168"/>
    </row>
    <row r="18" spans="2:4" ht="162" customHeight="1" x14ac:dyDescent="0.2">
      <c r="B18" s="58" t="s">
        <v>65</v>
      </c>
      <c r="C18" s="167" t="s">
        <v>323</v>
      </c>
      <c r="D18" s="168"/>
    </row>
    <row r="19" spans="2:4" ht="99" customHeight="1" x14ac:dyDescent="0.2">
      <c r="B19" s="57" t="s">
        <v>64</v>
      </c>
      <c r="C19" s="167" t="s">
        <v>321</v>
      </c>
      <c r="D19" s="168"/>
    </row>
  </sheetData>
  <mergeCells count="11">
    <mergeCell ref="C19:D19"/>
    <mergeCell ref="B3:D3"/>
    <mergeCell ref="B11:D11"/>
    <mergeCell ref="B12:B17"/>
    <mergeCell ref="C12:D12"/>
    <mergeCell ref="C13:D13"/>
    <mergeCell ref="C14:D14"/>
    <mergeCell ref="C15:D15"/>
    <mergeCell ref="C16:D16"/>
    <mergeCell ref="C17:D17"/>
    <mergeCell ref="C18:D18"/>
  </mergeCells>
  <pageMargins left="0.7" right="0.7"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7"/>
  <sheetViews>
    <sheetView topLeftCell="A21" zoomScale="70" zoomScaleNormal="70" workbookViewId="0">
      <selection activeCell="H25" sqref="H25:H26"/>
    </sheetView>
  </sheetViews>
  <sheetFormatPr baseColWidth="10" defaultColWidth="10.83203125" defaultRowHeight="16" x14ac:dyDescent="0.2"/>
  <cols>
    <col min="1" max="1" width="3.6640625" style="33" customWidth="1"/>
    <col min="2" max="2" width="24.83203125" style="16" customWidth="1"/>
    <col min="3" max="3" width="44.83203125" style="17" customWidth="1"/>
    <col min="4" max="4" width="8.5" style="31" bestFit="1" customWidth="1"/>
    <col min="5" max="5" width="5.1640625" style="31" customWidth="1"/>
    <col min="6" max="6" width="18.5" style="16" customWidth="1"/>
    <col min="7" max="7" width="21.5" style="16" customWidth="1"/>
    <col min="8" max="8" width="28.1640625" style="45" customWidth="1"/>
    <col min="9" max="9" width="10.83203125" style="16"/>
    <col min="10" max="10" width="17" style="16" customWidth="1"/>
    <col min="11" max="11" width="22.6640625" style="16" customWidth="1"/>
    <col min="12" max="16384" width="10.83203125" style="16"/>
  </cols>
  <sheetData>
    <row r="1" spans="1:11" ht="42.5" customHeight="1" x14ac:dyDescent="0.2">
      <c r="A1" s="174" t="s">
        <v>342</v>
      </c>
      <c r="B1" s="175"/>
      <c r="C1" s="175"/>
      <c r="D1" s="175"/>
      <c r="E1" s="175"/>
      <c r="F1" s="175"/>
      <c r="G1" s="175"/>
    </row>
    <row r="2" spans="1:11" ht="30" customHeight="1" x14ac:dyDescent="0.2">
      <c r="A2" s="18" t="s">
        <v>18</v>
      </c>
      <c r="B2" s="18" t="s">
        <v>19</v>
      </c>
      <c r="C2" s="18" t="s">
        <v>92</v>
      </c>
      <c r="D2" s="18" t="s">
        <v>20</v>
      </c>
      <c r="E2" s="18" t="s">
        <v>2</v>
      </c>
      <c r="F2" s="18" t="s">
        <v>59</v>
      </c>
      <c r="G2" s="18" t="s">
        <v>21</v>
      </c>
      <c r="H2" s="18" t="s">
        <v>324</v>
      </c>
      <c r="J2" s="16" t="s">
        <v>378</v>
      </c>
      <c r="K2" s="16" t="s">
        <v>368</v>
      </c>
    </row>
    <row r="3" spans="1:11" ht="56" customHeight="1" x14ac:dyDescent="0.2">
      <c r="A3" s="19">
        <v>1</v>
      </c>
      <c r="B3" s="20" t="s">
        <v>61</v>
      </c>
      <c r="C3" s="96" t="s">
        <v>366</v>
      </c>
      <c r="D3" s="95" t="s">
        <v>22</v>
      </c>
      <c r="E3" s="39">
        <v>6</v>
      </c>
      <c r="F3" s="40">
        <f>3959570-750000</f>
        <v>3209570</v>
      </c>
      <c r="G3" s="40">
        <f t="shared" ref="G3:G9" si="0">F3*E3</f>
        <v>19257420</v>
      </c>
      <c r="H3" s="46" t="s">
        <v>367</v>
      </c>
      <c r="J3" s="179">
        <v>27000000</v>
      </c>
      <c r="K3" s="179">
        <v>27000000</v>
      </c>
    </row>
    <row r="4" spans="1:11" ht="34" x14ac:dyDescent="0.2">
      <c r="A4" s="14">
        <v>14</v>
      </c>
      <c r="B4" s="20" t="s">
        <v>36</v>
      </c>
      <c r="C4" s="21" t="s">
        <v>37</v>
      </c>
      <c r="D4" s="22" t="s">
        <v>34</v>
      </c>
      <c r="E4" s="26">
        <v>1</v>
      </c>
      <c r="F4" s="23">
        <v>13200000</v>
      </c>
      <c r="G4" s="23">
        <f>F4*E4</f>
        <v>13200000</v>
      </c>
      <c r="H4" s="46" t="s">
        <v>369</v>
      </c>
      <c r="J4" s="179"/>
      <c r="K4" s="179"/>
    </row>
    <row r="5" spans="1:11" ht="56" customHeight="1" x14ac:dyDescent="0.2">
      <c r="A5" s="14">
        <v>2</v>
      </c>
      <c r="B5" s="20" t="s">
        <v>23</v>
      </c>
      <c r="C5" s="38" t="s">
        <v>66</v>
      </c>
      <c r="D5" s="95" t="s">
        <v>22</v>
      </c>
      <c r="E5" s="39">
        <v>2</v>
      </c>
      <c r="F5" s="40">
        <v>4710150</v>
      </c>
      <c r="G5" s="40">
        <f t="shared" si="0"/>
        <v>9420300</v>
      </c>
      <c r="H5" s="46" t="s">
        <v>370</v>
      </c>
      <c r="J5" s="86">
        <v>3250000</v>
      </c>
      <c r="K5" s="86">
        <f t="shared" ref="K5:K9" si="1">J5*E5</f>
        <v>6500000</v>
      </c>
    </row>
    <row r="6" spans="1:11" ht="82" customHeight="1" x14ac:dyDescent="0.2">
      <c r="A6" s="19">
        <v>3</v>
      </c>
      <c r="B6" s="20" t="s">
        <v>24</v>
      </c>
      <c r="C6" s="94" t="s">
        <v>54</v>
      </c>
      <c r="D6" s="95" t="s">
        <v>22</v>
      </c>
      <c r="E6" s="39">
        <v>2</v>
      </c>
      <c r="F6" s="40">
        <v>556310</v>
      </c>
      <c r="G6" s="40">
        <f t="shared" si="0"/>
        <v>1112620</v>
      </c>
      <c r="H6" s="46" t="s">
        <v>371</v>
      </c>
      <c r="J6" s="86">
        <v>450000</v>
      </c>
      <c r="K6" s="86">
        <f t="shared" si="1"/>
        <v>900000</v>
      </c>
    </row>
    <row r="7" spans="1:11" ht="92.5" customHeight="1" x14ac:dyDescent="0.2">
      <c r="A7" s="19">
        <v>4</v>
      </c>
      <c r="B7" s="20" t="s">
        <v>25</v>
      </c>
      <c r="C7" s="94" t="s">
        <v>55</v>
      </c>
      <c r="D7" s="95" t="s">
        <v>22</v>
      </c>
      <c r="E7" s="39">
        <v>2</v>
      </c>
      <c r="F7" s="40">
        <v>935310</v>
      </c>
      <c r="G7" s="40">
        <f t="shared" si="0"/>
        <v>1870620</v>
      </c>
      <c r="H7" s="46" t="s">
        <v>371</v>
      </c>
      <c r="J7" s="86">
        <v>500000</v>
      </c>
      <c r="K7" s="86">
        <f t="shared" si="1"/>
        <v>1000000</v>
      </c>
    </row>
    <row r="8" spans="1:11" ht="92.5" customHeight="1" x14ac:dyDescent="0.2">
      <c r="A8" s="14">
        <v>5</v>
      </c>
      <c r="B8" s="20" t="s">
        <v>26</v>
      </c>
      <c r="C8" s="94" t="s">
        <v>346</v>
      </c>
      <c r="D8" s="95" t="s">
        <v>22</v>
      </c>
      <c r="E8" s="39">
        <v>50</v>
      </c>
      <c r="F8" s="40">
        <v>40000</v>
      </c>
      <c r="G8" s="40">
        <f t="shared" si="0"/>
        <v>2000000</v>
      </c>
      <c r="H8" s="46" t="s">
        <v>372</v>
      </c>
      <c r="J8" s="86">
        <v>10000</v>
      </c>
      <c r="K8" s="86">
        <f t="shared" si="1"/>
        <v>500000</v>
      </c>
    </row>
    <row r="9" spans="1:11" ht="38" customHeight="1" x14ac:dyDescent="0.2">
      <c r="A9" s="19">
        <v>6</v>
      </c>
      <c r="B9" s="24" t="s">
        <v>27</v>
      </c>
      <c r="C9" s="21" t="s">
        <v>28</v>
      </c>
      <c r="D9" s="22" t="s">
        <v>22</v>
      </c>
      <c r="E9" s="26">
        <v>1</v>
      </c>
      <c r="F9" s="23">
        <v>1884060</v>
      </c>
      <c r="G9" s="23">
        <f t="shared" si="0"/>
        <v>1884060</v>
      </c>
      <c r="H9" s="46" t="s">
        <v>373</v>
      </c>
      <c r="J9" s="86">
        <v>1500000</v>
      </c>
      <c r="K9" s="86">
        <f t="shared" si="1"/>
        <v>1500000</v>
      </c>
    </row>
    <row r="10" spans="1:11" ht="51" x14ac:dyDescent="0.2">
      <c r="A10" s="19">
        <v>7</v>
      </c>
      <c r="B10" s="25" t="s">
        <v>29</v>
      </c>
      <c r="C10" s="21" t="s">
        <v>88</v>
      </c>
      <c r="D10" s="22" t="s">
        <v>22</v>
      </c>
      <c r="E10" s="26">
        <v>2</v>
      </c>
      <c r="F10" s="23">
        <v>1950000</v>
      </c>
      <c r="G10" s="23">
        <f t="shared" ref="G10:G26" si="2">F10*E10</f>
        <v>3900000</v>
      </c>
      <c r="H10" s="46" t="s">
        <v>374</v>
      </c>
      <c r="J10" s="176">
        <v>7500000</v>
      </c>
      <c r="K10" s="177">
        <f>J10*1</f>
        <v>7500000</v>
      </c>
    </row>
    <row r="11" spans="1:11" ht="59.5" customHeight="1" x14ac:dyDescent="0.2">
      <c r="A11" s="14">
        <v>8</v>
      </c>
      <c r="B11" s="25" t="s">
        <v>30</v>
      </c>
      <c r="C11" s="21" t="s">
        <v>87</v>
      </c>
      <c r="D11" s="22" t="s">
        <v>22</v>
      </c>
      <c r="E11" s="26">
        <v>2</v>
      </c>
      <c r="F11" s="23">
        <v>2448900</v>
      </c>
      <c r="G11" s="23">
        <f t="shared" si="2"/>
        <v>4897800</v>
      </c>
      <c r="H11" s="46" t="s">
        <v>374</v>
      </c>
      <c r="J11" s="176"/>
      <c r="K11" s="178"/>
    </row>
    <row r="12" spans="1:11" ht="34" x14ac:dyDescent="0.2">
      <c r="A12" s="19">
        <v>9</v>
      </c>
      <c r="B12" s="25" t="s">
        <v>326</v>
      </c>
      <c r="C12" s="21" t="s">
        <v>325</v>
      </c>
      <c r="D12" s="22" t="s">
        <v>22</v>
      </c>
      <c r="E12" s="26">
        <v>2</v>
      </c>
      <c r="F12" s="23">
        <v>285000</v>
      </c>
      <c r="G12" s="23">
        <f t="shared" si="2"/>
        <v>570000</v>
      </c>
      <c r="H12" s="46" t="s">
        <v>374</v>
      </c>
      <c r="J12" s="176"/>
      <c r="K12" s="178"/>
    </row>
    <row r="13" spans="1:11" ht="34" x14ac:dyDescent="0.2">
      <c r="A13" s="19">
        <v>10</v>
      </c>
      <c r="B13" s="20" t="s">
        <v>31</v>
      </c>
      <c r="C13" s="21" t="s">
        <v>86</v>
      </c>
      <c r="D13" s="22" t="s">
        <v>22</v>
      </c>
      <c r="E13" s="26">
        <v>2</v>
      </c>
      <c r="F13" s="23">
        <v>2248900</v>
      </c>
      <c r="G13" s="23">
        <f t="shared" si="2"/>
        <v>4497800</v>
      </c>
      <c r="H13" s="46" t="s">
        <v>374</v>
      </c>
      <c r="J13" s="176"/>
      <c r="K13" s="178"/>
    </row>
    <row r="14" spans="1:11" ht="40.5" customHeight="1" x14ac:dyDescent="0.2">
      <c r="A14" s="14">
        <v>11</v>
      </c>
      <c r="B14" s="20" t="s">
        <v>32</v>
      </c>
      <c r="C14" s="21" t="s">
        <v>89</v>
      </c>
      <c r="D14" s="22" t="s">
        <v>22</v>
      </c>
      <c r="E14" s="26">
        <v>3</v>
      </c>
      <c r="F14" s="23">
        <v>125000</v>
      </c>
      <c r="G14" s="23">
        <f t="shared" si="2"/>
        <v>375000</v>
      </c>
      <c r="H14" s="46" t="s">
        <v>374</v>
      </c>
      <c r="J14" s="176"/>
      <c r="K14" s="178"/>
    </row>
    <row r="15" spans="1:11" ht="40.5" customHeight="1" x14ac:dyDescent="0.2">
      <c r="A15" s="19">
        <v>24</v>
      </c>
      <c r="B15" s="20" t="s">
        <v>32</v>
      </c>
      <c r="C15" s="21" t="s">
        <v>89</v>
      </c>
      <c r="D15" s="22" t="s">
        <v>22</v>
      </c>
      <c r="E15" s="26">
        <v>5</v>
      </c>
      <c r="F15" s="23">
        <v>125000</v>
      </c>
      <c r="G15" s="23">
        <f t="shared" ref="G15" si="3">F15*E15</f>
        <v>625000</v>
      </c>
      <c r="H15" s="46" t="s">
        <v>374</v>
      </c>
      <c r="J15" s="176"/>
      <c r="K15" s="178"/>
    </row>
    <row r="16" spans="1:11" ht="67" customHeight="1" x14ac:dyDescent="0.2">
      <c r="A16" s="19">
        <v>12</v>
      </c>
      <c r="B16" s="38" t="s">
        <v>33</v>
      </c>
      <c r="C16" s="21" t="s">
        <v>85</v>
      </c>
      <c r="D16" s="22" t="s">
        <v>34</v>
      </c>
      <c r="E16" s="26">
        <v>1</v>
      </c>
      <c r="F16" s="23">
        <f>4599790-900000</f>
        <v>3699790</v>
      </c>
      <c r="G16" s="23">
        <f t="shared" si="2"/>
        <v>3699790</v>
      </c>
      <c r="H16" s="88" t="s">
        <v>289</v>
      </c>
      <c r="J16" s="86">
        <v>2100000</v>
      </c>
      <c r="K16" s="86">
        <f>J16*1</f>
        <v>2100000</v>
      </c>
    </row>
    <row r="17" spans="1:11" ht="38" customHeight="1" x14ac:dyDescent="0.2">
      <c r="A17" s="19">
        <v>13</v>
      </c>
      <c r="B17" s="38" t="s">
        <v>35</v>
      </c>
      <c r="C17" s="89" t="s">
        <v>347</v>
      </c>
      <c r="D17" s="22" t="s">
        <v>34</v>
      </c>
      <c r="E17" s="26">
        <v>1</v>
      </c>
      <c r="F17" s="23">
        <f>3077640-160000-500000-700000</f>
        <v>1717640</v>
      </c>
      <c r="G17" s="23">
        <f>F17*E17</f>
        <v>1717640</v>
      </c>
      <c r="H17" s="90" t="s">
        <v>290</v>
      </c>
      <c r="J17" s="86">
        <v>900000</v>
      </c>
      <c r="K17" s="86">
        <f>J17*1</f>
        <v>900000</v>
      </c>
    </row>
    <row r="18" spans="1:11" ht="33" customHeight="1" x14ac:dyDescent="0.2">
      <c r="A18" s="19">
        <v>15</v>
      </c>
      <c r="B18" s="25" t="s">
        <v>38</v>
      </c>
      <c r="C18" s="21" t="s">
        <v>56</v>
      </c>
      <c r="D18" s="26" t="s">
        <v>22</v>
      </c>
      <c r="E18" s="26">
        <v>2</v>
      </c>
      <c r="F18" s="23">
        <v>1750000</v>
      </c>
      <c r="G18" s="23">
        <f t="shared" si="2"/>
        <v>3500000</v>
      </c>
      <c r="H18" s="46" t="s">
        <v>291</v>
      </c>
      <c r="J18" s="86">
        <f>290743*4</f>
        <v>1162972</v>
      </c>
      <c r="K18" s="86">
        <f>J18*E18</f>
        <v>2325944</v>
      </c>
    </row>
    <row r="19" spans="1:11" ht="33" customHeight="1" x14ac:dyDescent="0.2">
      <c r="A19" s="19">
        <v>16</v>
      </c>
      <c r="B19" s="25" t="s">
        <v>39</v>
      </c>
      <c r="C19" s="21" t="s">
        <v>40</v>
      </c>
      <c r="D19" s="26" t="s">
        <v>5</v>
      </c>
      <c r="E19" s="26">
        <v>3</v>
      </c>
      <c r="F19" s="23">
        <v>665000</v>
      </c>
      <c r="G19" s="23">
        <f t="shared" si="2"/>
        <v>1995000</v>
      </c>
      <c r="H19" s="46" t="s">
        <v>292</v>
      </c>
      <c r="J19" s="86">
        <f>179915*3</f>
        <v>539745</v>
      </c>
      <c r="K19" s="86">
        <f>J19*E19</f>
        <v>1619235</v>
      </c>
    </row>
    <row r="20" spans="1:11" ht="38.5" customHeight="1" x14ac:dyDescent="0.2">
      <c r="A20" s="14">
        <v>17</v>
      </c>
      <c r="B20" s="25" t="s">
        <v>41</v>
      </c>
      <c r="C20" s="21" t="s">
        <v>57</v>
      </c>
      <c r="D20" s="26" t="s">
        <v>5</v>
      </c>
      <c r="E20" s="26">
        <v>3</v>
      </c>
      <c r="F20" s="23">
        <v>1159430</v>
      </c>
      <c r="G20" s="23">
        <f t="shared" si="2"/>
        <v>3478290</v>
      </c>
      <c r="H20" s="46" t="s">
        <v>291</v>
      </c>
      <c r="J20" s="86">
        <f>498993*2</f>
        <v>997986</v>
      </c>
      <c r="K20" s="86">
        <f>J20*E20</f>
        <v>2993958</v>
      </c>
    </row>
    <row r="21" spans="1:11" ht="17" x14ac:dyDescent="0.2">
      <c r="A21" s="19">
        <v>18</v>
      </c>
      <c r="B21" s="25" t="s">
        <v>42</v>
      </c>
      <c r="C21" s="21" t="s">
        <v>43</v>
      </c>
      <c r="D21" s="26" t="s">
        <v>5</v>
      </c>
      <c r="E21" s="26">
        <v>1</v>
      </c>
      <c r="F21" s="23">
        <v>1000000</v>
      </c>
      <c r="G21" s="23">
        <f t="shared" si="2"/>
        <v>1000000</v>
      </c>
      <c r="H21" s="46" t="s">
        <v>293</v>
      </c>
      <c r="J21" s="16">
        <v>0</v>
      </c>
    </row>
    <row r="22" spans="1:11" ht="34" x14ac:dyDescent="0.2">
      <c r="A22" s="19">
        <v>19</v>
      </c>
      <c r="B22" s="38" t="s">
        <v>287</v>
      </c>
      <c r="C22" s="21" t="s">
        <v>327</v>
      </c>
      <c r="D22" s="22" t="s">
        <v>34</v>
      </c>
      <c r="E22" s="26">
        <v>1</v>
      </c>
      <c r="F22" s="23">
        <f>24000000-1500000-1000000</f>
        <v>21500000</v>
      </c>
      <c r="G22" s="23">
        <f t="shared" si="2"/>
        <v>21500000</v>
      </c>
      <c r="H22" s="90"/>
      <c r="J22" s="98">
        <f>'Implementation Resources'!H15</f>
        <v>14400000</v>
      </c>
      <c r="K22" s="86">
        <f>J22*E22</f>
        <v>14400000</v>
      </c>
    </row>
    <row r="23" spans="1:11" ht="34" x14ac:dyDescent="0.2">
      <c r="A23" s="14">
        <v>20</v>
      </c>
      <c r="B23" s="20" t="s">
        <v>44</v>
      </c>
      <c r="C23" s="21" t="s">
        <v>45</v>
      </c>
      <c r="D23" s="22" t="s">
        <v>34</v>
      </c>
      <c r="E23" s="26">
        <v>1</v>
      </c>
      <c r="F23" s="23">
        <v>0</v>
      </c>
      <c r="G23" s="23">
        <f t="shared" si="2"/>
        <v>0</v>
      </c>
      <c r="H23" s="90"/>
    </row>
    <row r="24" spans="1:11" ht="97.5" customHeight="1" x14ac:dyDescent="0.2">
      <c r="A24" s="19">
        <v>21</v>
      </c>
      <c r="B24" s="83" t="s">
        <v>46</v>
      </c>
      <c r="C24" s="21" t="s">
        <v>312</v>
      </c>
      <c r="D24" s="26" t="s">
        <v>34</v>
      </c>
      <c r="E24" s="26">
        <v>1</v>
      </c>
      <c r="F24" s="23">
        <v>0</v>
      </c>
      <c r="G24" s="23">
        <f t="shared" si="2"/>
        <v>0</v>
      </c>
      <c r="H24" s="90"/>
    </row>
    <row r="25" spans="1:11" ht="39" customHeight="1" x14ac:dyDescent="0.2">
      <c r="A25" s="19">
        <v>22</v>
      </c>
      <c r="B25" s="25" t="s">
        <v>72</v>
      </c>
      <c r="C25" s="91" t="s">
        <v>288</v>
      </c>
      <c r="D25" s="26" t="s">
        <v>74</v>
      </c>
      <c r="E25" s="26">
        <v>3</v>
      </c>
      <c r="F25" s="92">
        <f>325470</f>
        <v>325470</v>
      </c>
      <c r="G25" s="23">
        <f t="shared" si="2"/>
        <v>976410</v>
      </c>
      <c r="H25" s="46" t="s">
        <v>375</v>
      </c>
      <c r="J25" s="86">
        <v>125000</v>
      </c>
      <c r="K25" s="86">
        <f>J25*E25</f>
        <v>375000</v>
      </c>
    </row>
    <row r="26" spans="1:11" ht="32.5" customHeight="1" x14ac:dyDescent="0.2">
      <c r="A26" s="14">
        <v>23</v>
      </c>
      <c r="B26" s="25" t="s">
        <v>73</v>
      </c>
      <c r="C26" s="91" t="s">
        <v>69</v>
      </c>
      <c r="D26" s="26" t="s">
        <v>74</v>
      </c>
      <c r="E26" s="26">
        <v>3</v>
      </c>
      <c r="F26" s="92">
        <v>116380</v>
      </c>
      <c r="G26" s="23">
        <f t="shared" si="2"/>
        <v>349140</v>
      </c>
      <c r="H26" s="46" t="s">
        <v>294</v>
      </c>
      <c r="J26" s="86">
        <v>75000</v>
      </c>
      <c r="K26" s="86">
        <f>J26*E26</f>
        <v>225000</v>
      </c>
    </row>
    <row r="27" spans="1:11" ht="17" x14ac:dyDescent="0.2">
      <c r="A27" s="27"/>
      <c r="B27" s="28"/>
      <c r="C27" s="27" t="s">
        <v>58</v>
      </c>
      <c r="D27" s="29"/>
      <c r="E27" s="27"/>
      <c r="F27" s="30"/>
      <c r="G27" s="30">
        <f>SUM(G3:G26)</f>
        <v>101826890</v>
      </c>
      <c r="H27" s="47"/>
      <c r="K27" s="30">
        <f>SUM(K3:K26)</f>
        <v>69839137</v>
      </c>
    </row>
  </sheetData>
  <mergeCells count="5">
    <mergeCell ref="A1:G1"/>
    <mergeCell ref="J10:J15"/>
    <mergeCell ref="K10:K15"/>
    <mergeCell ref="J3:J4"/>
    <mergeCell ref="K3:K4"/>
  </mergeCells>
  <pageMargins left="0.7" right="0.7" top="0.75" bottom="0.75" header="0.3" footer="0.3"/>
  <pageSetup scale="48" fitToHeight="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1"/>
  <sheetViews>
    <sheetView topLeftCell="A16" zoomScale="85" zoomScaleNormal="85" workbookViewId="0">
      <selection activeCell="H37" sqref="H37"/>
    </sheetView>
  </sheetViews>
  <sheetFormatPr baseColWidth="10" defaultColWidth="8.83203125" defaultRowHeight="15" x14ac:dyDescent="0.2"/>
  <cols>
    <col min="1" max="1" width="6.1640625" style="73" bestFit="1" customWidth="1"/>
    <col min="2" max="2" width="63.1640625" style="82" customWidth="1"/>
    <col min="3" max="3" width="5.6640625" style="73" customWidth="1"/>
    <col min="4" max="4" width="4.1640625" style="73" customWidth="1"/>
    <col min="5" max="5" width="16.6640625" style="76" customWidth="1"/>
    <col min="6" max="6" width="14.33203125" style="76" customWidth="1"/>
    <col min="7" max="7" width="47.33203125" style="76" customWidth="1"/>
    <col min="8" max="8" width="8.83203125" style="66"/>
    <col min="9" max="9" width="12.6640625" style="66" bestFit="1" customWidth="1"/>
    <col min="10" max="10" width="14.33203125" style="66" bestFit="1" customWidth="1"/>
    <col min="11" max="16384" width="8.83203125" style="66"/>
  </cols>
  <sheetData>
    <row r="1" spans="1:10" ht="19" x14ac:dyDescent="0.2">
      <c r="A1" s="64" t="s">
        <v>82</v>
      </c>
      <c r="B1" s="81"/>
      <c r="C1" s="182"/>
      <c r="D1" s="182"/>
      <c r="E1" s="182"/>
      <c r="F1" s="182"/>
      <c r="G1" s="65"/>
    </row>
    <row r="2" spans="1:10" s="67" customFormat="1" ht="15" customHeight="1" x14ac:dyDescent="0.2">
      <c r="A2" s="183" t="s">
        <v>0</v>
      </c>
      <c r="B2" s="183" t="s">
        <v>47</v>
      </c>
      <c r="C2" s="183" t="s">
        <v>1</v>
      </c>
      <c r="D2" s="180" t="s">
        <v>2</v>
      </c>
      <c r="E2" s="180" t="s">
        <v>81</v>
      </c>
      <c r="F2" s="180" t="s">
        <v>90</v>
      </c>
      <c r="G2" s="180" t="s">
        <v>285</v>
      </c>
    </row>
    <row r="3" spans="1:10" s="67" customFormat="1" ht="11.5" customHeight="1" x14ac:dyDescent="0.2">
      <c r="A3" s="183"/>
      <c r="B3" s="183"/>
      <c r="C3" s="183"/>
      <c r="D3" s="180"/>
      <c r="E3" s="180"/>
      <c r="F3" s="180"/>
      <c r="G3" s="180"/>
    </row>
    <row r="4" spans="1:10" s="67" customFormat="1" ht="51" customHeight="1" x14ac:dyDescent="0.2">
      <c r="A4" s="183"/>
      <c r="B4" s="183"/>
      <c r="C4" s="183"/>
      <c r="D4" s="180"/>
      <c r="E4" s="180"/>
      <c r="F4" s="180"/>
      <c r="G4" s="180"/>
      <c r="I4" s="67" t="s">
        <v>355</v>
      </c>
      <c r="J4" s="67" t="s">
        <v>356</v>
      </c>
    </row>
    <row r="5" spans="1:10" ht="45.5" customHeight="1" x14ac:dyDescent="0.2">
      <c r="A5" s="68">
        <v>1</v>
      </c>
      <c r="B5" s="41" t="s">
        <v>344</v>
      </c>
      <c r="C5" s="63" t="s">
        <v>3</v>
      </c>
      <c r="D5" s="63">
        <v>1</v>
      </c>
      <c r="E5" s="69">
        <v>9304500</v>
      </c>
      <c r="F5" s="69">
        <f>D5*E5</f>
        <v>9304500</v>
      </c>
      <c r="G5" s="70"/>
      <c r="I5" s="100">
        <v>4000000</v>
      </c>
      <c r="J5" s="100">
        <f>I5*D5</f>
        <v>4000000</v>
      </c>
    </row>
    <row r="6" spans="1:10" ht="21.5" customHeight="1" x14ac:dyDescent="0.2">
      <c r="A6" s="68">
        <v>2</v>
      </c>
      <c r="B6" s="41" t="s">
        <v>67</v>
      </c>
      <c r="C6" s="63" t="s">
        <v>10</v>
      </c>
      <c r="D6" s="63">
        <v>3</v>
      </c>
      <c r="E6" s="69">
        <v>88958</v>
      </c>
      <c r="F6" s="69">
        <f t="shared" ref="F6:F25" si="0">E6*D6</f>
        <v>266874</v>
      </c>
      <c r="G6" s="70"/>
      <c r="I6" s="100">
        <v>44000</v>
      </c>
      <c r="J6" s="100">
        <f t="shared" ref="J6:J25" si="1">I6*D6</f>
        <v>132000</v>
      </c>
    </row>
    <row r="7" spans="1:10" ht="30.5" customHeight="1" x14ac:dyDescent="0.2">
      <c r="A7" s="68">
        <v>5</v>
      </c>
      <c r="B7" s="41" t="s">
        <v>271</v>
      </c>
      <c r="C7" s="63" t="s">
        <v>10</v>
      </c>
      <c r="D7" s="63">
        <v>2</v>
      </c>
      <c r="E7" s="69">
        <v>4490000</v>
      </c>
      <c r="F7" s="69">
        <f t="shared" si="0"/>
        <v>8980000</v>
      </c>
      <c r="G7" s="70" t="s">
        <v>330</v>
      </c>
      <c r="I7" s="100">
        <v>2250000</v>
      </c>
      <c r="J7" s="100">
        <f t="shared" si="1"/>
        <v>4500000</v>
      </c>
    </row>
    <row r="8" spans="1:10" ht="46" customHeight="1" x14ac:dyDescent="0.2">
      <c r="A8" s="68">
        <v>6</v>
      </c>
      <c r="B8" s="41" t="s">
        <v>272</v>
      </c>
      <c r="C8" s="63" t="s">
        <v>3</v>
      </c>
      <c r="D8" s="63">
        <v>1</v>
      </c>
      <c r="E8" s="69">
        <v>3450238</v>
      </c>
      <c r="F8" s="69">
        <f t="shared" si="0"/>
        <v>3450238</v>
      </c>
      <c r="G8" s="70" t="s">
        <v>345</v>
      </c>
      <c r="I8" s="100">
        <v>2132400</v>
      </c>
      <c r="J8" s="100">
        <f t="shared" si="1"/>
        <v>2132400</v>
      </c>
    </row>
    <row r="9" spans="1:10" ht="19" customHeight="1" x14ac:dyDescent="0.2">
      <c r="A9" s="68">
        <v>7</v>
      </c>
      <c r="B9" s="41" t="s">
        <v>7</v>
      </c>
      <c r="C9" s="63" t="s">
        <v>3</v>
      </c>
      <c r="D9" s="63">
        <v>1</v>
      </c>
      <c r="E9" s="69">
        <f>777280.5-5000</f>
        <v>772280.5</v>
      </c>
      <c r="F9" s="69">
        <f t="shared" si="0"/>
        <v>772280.5</v>
      </c>
      <c r="G9" s="70" t="s">
        <v>329</v>
      </c>
      <c r="I9" s="100">
        <v>319410</v>
      </c>
      <c r="J9" s="100">
        <f t="shared" si="1"/>
        <v>319410</v>
      </c>
    </row>
    <row r="10" spans="1:10" ht="16" x14ac:dyDescent="0.2">
      <c r="A10" s="68">
        <v>8</v>
      </c>
      <c r="B10" s="41" t="s">
        <v>8</v>
      </c>
      <c r="C10" s="63" t="s">
        <v>3</v>
      </c>
      <c r="D10" s="63">
        <v>1</v>
      </c>
      <c r="E10" s="69">
        <v>1001822.5</v>
      </c>
      <c r="F10" s="69">
        <f t="shared" si="0"/>
        <v>1001822.5</v>
      </c>
      <c r="G10" s="70" t="s">
        <v>331</v>
      </c>
      <c r="I10" s="100">
        <v>568200</v>
      </c>
      <c r="J10" s="100">
        <f t="shared" si="1"/>
        <v>568200</v>
      </c>
    </row>
    <row r="11" spans="1:10" ht="16" x14ac:dyDescent="0.2">
      <c r="A11" s="68">
        <v>9</v>
      </c>
      <c r="B11" s="41" t="s">
        <v>9</v>
      </c>
      <c r="C11" s="63" t="s">
        <v>3</v>
      </c>
      <c r="D11" s="63">
        <v>1</v>
      </c>
      <c r="E11" s="69">
        <v>526832</v>
      </c>
      <c r="F11" s="69">
        <f t="shared" si="0"/>
        <v>526832</v>
      </c>
      <c r="G11" s="70" t="s">
        <v>331</v>
      </c>
      <c r="I11" s="100">
        <v>262000</v>
      </c>
      <c r="J11" s="100">
        <f t="shared" si="1"/>
        <v>262000</v>
      </c>
    </row>
    <row r="12" spans="1:10" ht="47.5" customHeight="1" x14ac:dyDescent="0.2">
      <c r="A12" s="68">
        <v>10</v>
      </c>
      <c r="B12" s="41" t="s">
        <v>275</v>
      </c>
      <c r="C12" s="63" t="s">
        <v>3</v>
      </c>
      <c r="D12" s="63">
        <v>1</v>
      </c>
      <c r="E12" s="69">
        <v>4256009</v>
      </c>
      <c r="F12" s="69">
        <f t="shared" si="0"/>
        <v>4256009</v>
      </c>
      <c r="G12" s="70" t="s">
        <v>331</v>
      </c>
      <c r="I12" s="100">
        <v>1500000</v>
      </c>
      <c r="J12" s="100">
        <f t="shared" si="1"/>
        <v>1500000</v>
      </c>
    </row>
    <row r="13" spans="1:10" ht="16" x14ac:dyDescent="0.2">
      <c r="A13" s="68">
        <v>11</v>
      </c>
      <c r="B13" s="41" t="s">
        <v>276</v>
      </c>
      <c r="C13" s="63" t="s">
        <v>10</v>
      </c>
      <c r="D13" s="63">
        <v>20</v>
      </c>
      <c r="E13" s="69">
        <v>15903</v>
      </c>
      <c r="F13" s="69">
        <f t="shared" si="0"/>
        <v>318060</v>
      </c>
      <c r="G13" s="70" t="s">
        <v>331</v>
      </c>
      <c r="I13" s="100">
        <v>8000</v>
      </c>
      <c r="J13" s="100">
        <f t="shared" si="1"/>
        <v>160000</v>
      </c>
    </row>
    <row r="14" spans="1:10" ht="33" customHeight="1" x14ac:dyDescent="0.2">
      <c r="A14" s="68">
        <v>12</v>
      </c>
      <c r="B14" s="41" t="s">
        <v>274</v>
      </c>
      <c r="C14" s="63" t="s">
        <v>10</v>
      </c>
      <c r="D14" s="63">
        <v>3</v>
      </c>
      <c r="E14" s="69">
        <v>2900000</v>
      </c>
      <c r="F14" s="69">
        <f t="shared" si="0"/>
        <v>8700000</v>
      </c>
      <c r="G14" s="70" t="s">
        <v>332</v>
      </c>
      <c r="I14" s="100">
        <v>1500000</v>
      </c>
      <c r="J14" s="100">
        <f t="shared" si="1"/>
        <v>4500000</v>
      </c>
    </row>
    <row r="15" spans="1:10" ht="36.5" customHeight="1" x14ac:dyDescent="0.2">
      <c r="A15" s="68">
        <v>13</v>
      </c>
      <c r="B15" s="41" t="s">
        <v>283</v>
      </c>
      <c r="C15" s="63" t="s">
        <v>3</v>
      </c>
      <c r="D15" s="63">
        <v>1</v>
      </c>
      <c r="E15" s="69">
        <f>2280010-380000</f>
        <v>1900010</v>
      </c>
      <c r="F15" s="69">
        <f t="shared" si="0"/>
        <v>1900010</v>
      </c>
      <c r="G15" s="70" t="s">
        <v>333</v>
      </c>
      <c r="I15" s="100">
        <v>760000</v>
      </c>
      <c r="J15" s="100">
        <f t="shared" si="1"/>
        <v>760000</v>
      </c>
    </row>
    <row r="16" spans="1:10" ht="31.5" customHeight="1" x14ac:dyDescent="0.2">
      <c r="A16" s="68">
        <v>14</v>
      </c>
      <c r="B16" s="41" t="s">
        <v>284</v>
      </c>
      <c r="C16" s="63" t="s">
        <v>10</v>
      </c>
      <c r="D16" s="63">
        <v>1</v>
      </c>
      <c r="E16" s="69">
        <v>345515</v>
      </c>
      <c r="F16" s="69">
        <f t="shared" si="0"/>
        <v>345515</v>
      </c>
      <c r="G16" s="70" t="s">
        <v>333</v>
      </c>
      <c r="I16" s="100">
        <v>81750</v>
      </c>
      <c r="J16" s="100">
        <f t="shared" si="1"/>
        <v>81750</v>
      </c>
    </row>
    <row r="17" spans="1:10" ht="16" x14ac:dyDescent="0.2">
      <c r="A17" s="68">
        <v>15</v>
      </c>
      <c r="B17" s="41" t="s">
        <v>84</v>
      </c>
      <c r="C17" s="63" t="s">
        <v>3</v>
      </c>
      <c r="D17" s="63">
        <v>1</v>
      </c>
      <c r="E17" s="69">
        <f>925832+300000</f>
        <v>1225832</v>
      </c>
      <c r="F17" s="69">
        <f t="shared" si="0"/>
        <v>1225832</v>
      </c>
      <c r="G17" s="70"/>
      <c r="I17" s="100">
        <v>631000</v>
      </c>
      <c r="J17" s="100">
        <f t="shared" si="1"/>
        <v>631000</v>
      </c>
    </row>
    <row r="18" spans="1:10" ht="32" x14ac:dyDescent="0.2">
      <c r="A18" s="68">
        <v>16</v>
      </c>
      <c r="B18" s="41" t="s">
        <v>11</v>
      </c>
      <c r="C18" s="63" t="s">
        <v>3</v>
      </c>
      <c r="D18" s="63">
        <v>1</v>
      </c>
      <c r="E18" s="69">
        <f>410238.5-20000</f>
        <v>390238.5</v>
      </c>
      <c r="F18" s="69">
        <f t="shared" si="0"/>
        <v>390238.5</v>
      </c>
      <c r="G18" s="70"/>
      <c r="I18" s="100">
        <v>195000</v>
      </c>
      <c r="J18" s="100">
        <f t="shared" si="1"/>
        <v>195000</v>
      </c>
    </row>
    <row r="19" spans="1:10" ht="35.5" customHeight="1" x14ac:dyDescent="0.2">
      <c r="A19" s="68">
        <v>17</v>
      </c>
      <c r="B19" s="41" t="s">
        <v>328</v>
      </c>
      <c r="C19" s="63" t="s">
        <v>3</v>
      </c>
      <c r="D19" s="63">
        <v>1</v>
      </c>
      <c r="E19" s="69">
        <f>2860369*0.75</f>
        <v>2145276.75</v>
      </c>
      <c r="F19" s="69">
        <f t="shared" si="0"/>
        <v>2145276.75</v>
      </c>
      <c r="G19" s="70"/>
      <c r="I19" s="100">
        <v>965000</v>
      </c>
      <c r="J19" s="100">
        <f t="shared" si="1"/>
        <v>965000</v>
      </c>
    </row>
    <row r="20" spans="1:10" ht="16" x14ac:dyDescent="0.2">
      <c r="A20" s="68">
        <v>18</v>
      </c>
      <c r="B20" s="41" t="s">
        <v>12</v>
      </c>
      <c r="C20" s="63" t="s">
        <v>3</v>
      </c>
      <c r="D20" s="63">
        <v>1</v>
      </c>
      <c r="E20" s="69">
        <f>837738.5 -7000</f>
        <v>830738.5</v>
      </c>
      <c r="F20" s="69">
        <f t="shared" si="0"/>
        <v>830738.5</v>
      </c>
      <c r="G20" s="70" t="s">
        <v>331</v>
      </c>
      <c r="I20" s="100">
        <v>350150</v>
      </c>
      <c r="J20" s="100">
        <f t="shared" si="1"/>
        <v>350150</v>
      </c>
    </row>
    <row r="21" spans="1:10" ht="16" x14ac:dyDescent="0.2">
      <c r="A21" s="68">
        <v>19</v>
      </c>
      <c r="B21" s="41" t="s">
        <v>13</v>
      </c>
      <c r="C21" s="63" t="s">
        <v>3</v>
      </c>
      <c r="D21" s="63">
        <v>1</v>
      </c>
      <c r="E21" s="69">
        <f>1036374-20000</f>
        <v>1016374</v>
      </c>
      <c r="F21" s="69">
        <f t="shared" si="0"/>
        <v>1016374</v>
      </c>
      <c r="G21" s="70" t="s">
        <v>331</v>
      </c>
      <c r="I21" s="100">
        <v>511820</v>
      </c>
      <c r="J21" s="100">
        <f t="shared" si="1"/>
        <v>511820</v>
      </c>
    </row>
    <row r="22" spans="1:10" ht="16" x14ac:dyDescent="0.2">
      <c r="A22" s="68">
        <v>20</v>
      </c>
      <c r="B22" s="41" t="s">
        <v>14</v>
      </c>
      <c r="C22" s="63" t="s">
        <v>3</v>
      </c>
      <c r="D22" s="63">
        <v>1</v>
      </c>
      <c r="E22" s="69">
        <v>190009.5</v>
      </c>
      <c r="F22" s="69">
        <f t="shared" si="0"/>
        <v>190009.5</v>
      </c>
      <c r="G22" s="70" t="s">
        <v>331</v>
      </c>
      <c r="I22" s="100">
        <v>91250</v>
      </c>
      <c r="J22" s="100">
        <f t="shared" si="1"/>
        <v>91250</v>
      </c>
    </row>
    <row r="23" spans="1:10" ht="16" x14ac:dyDescent="0.2">
      <c r="A23" s="68">
        <v>21</v>
      </c>
      <c r="B23" s="41" t="s">
        <v>15</v>
      </c>
      <c r="C23" s="63" t="s">
        <v>3</v>
      </c>
      <c r="D23" s="63">
        <v>1</v>
      </c>
      <c r="E23" s="69">
        <v>155467.5</v>
      </c>
      <c r="F23" s="69">
        <f t="shared" si="0"/>
        <v>155467.5</v>
      </c>
      <c r="G23" s="70" t="s">
        <v>331</v>
      </c>
      <c r="I23" s="100">
        <v>77715</v>
      </c>
      <c r="J23" s="100">
        <f t="shared" si="1"/>
        <v>77715</v>
      </c>
    </row>
    <row r="24" spans="1:10" ht="20.5" customHeight="1" x14ac:dyDescent="0.2">
      <c r="A24" s="68">
        <v>22</v>
      </c>
      <c r="B24" s="41" t="s">
        <v>78</v>
      </c>
      <c r="C24" s="63" t="s">
        <v>3</v>
      </c>
      <c r="D24" s="63">
        <v>1</v>
      </c>
      <c r="E24" s="69">
        <f>2000000-5000</f>
        <v>1995000</v>
      </c>
      <c r="F24" s="69">
        <f t="shared" si="0"/>
        <v>1995000</v>
      </c>
      <c r="G24" s="70"/>
      <c r="I24" s="100">
        <v>1014120</v>
      </c>
      <c r="J24" s="100">
        <f t="shared" si="1"/>
        <v>1014120</v>
      </c>
    </row>
    <row r="25" spans="1:10" ht="30.5" customHeight="1" x14ac:dyDescent="0.2">
      <c r="A25" s="68">
        <v>23</v>
      </c>
      <c r="B25" s="41" t="s">
        <v>273</v>
      </c>
      <c r="C25" s="63" t="s">
        <v>80</v>
      </c>
      <c r="D25" s="63">
        <v>1</v>
      </c>
      <c r="E25" s="69">
        <v>1295458</v>
      </c>
      <c r="F25" s="69">
        <f t="shared" si="0"/>
        <v>1295458</v>
      </c>
      <c r="G25" s="70" t="s">
        <v>331</v>
      </c>
      <c r="I25" s="100">
        <v>647000</v>
      </c>
      <c r="J25" s="100">
        <f t="shared" si="1"/>
        <v>647000</v>
      </c>
    </row>
    <row r="26" spans="1:10" ht="16" x14ac:dyDescent="0.2">
      <c r="A26" s="71"/>
      <c r="B26" s="68" t="s">
        <v>16</v>
      </c>
      <c r="C26" s="71"/>
      <c r="D26" s="71"/>
      <c r="E26" s="72"/>
      <c r="F26" s="72">
        <f>SUM(F5:F25)</f>
        <v>49066535.75</v>
      </c>
      <c r="G26" s="72"/>
    </row>
    <row r="28" spans="1:10" x14ac:dyDescent="0.2">
      <c r="D28" s="74"/>
      <c r="E28" s="75"/>
      <c r="J28" s="100">
        <f>SUM(J4:J27)</f>
        <v>23398815</v>
      </c>
    </row>
    <row r="30" spans="1:10" x14ac:dyDescent="0.2">
      <c r="E30" s="77"/>
    </row>
    <row r="31" spans="1:10" x14ac:dyDescent="0.2">
      <c r="E31" s="77"/>
    </row>
    <row r="32" spans="1:10" x14ac:dyDescent="0.2">
      <c r="E32" s="77"/>
    </row>
    <row r="33" spans="5:7" x14ac:dyDescent="0.2">
      <c r="E33" s="77"/>
    </row>
    <row r="34" spans="5:7" x14ac:dyDescent="0.2">
      <c r="E34" s="77"/>
    </row>
    <row r="35" spans="5:7" x14ac:dyDescent="0.2">
      <c r="E35" s="75"/>
      <c r="F35" s="75"/>
      <c r="G35" s="75"/>
    </row>
    <row r="37" spans="5:7" ht="28.5" customHeight="1" x14ac:dyDescent="0.2">
      <c r="E37" s="181"/>
      <c r="F37" s="181"/>
      <c r="G37" s="78"/>
    </row>
    <row r="38" spans="5:7" x14ac:dyDescent="0.2">
      <c r="E38" s="77"/>
    </row>
    <row r="39" spans="5:7" x14ac:dyDescent="0.2">
      <c r="E39" s="77"/>
    </row>
    <row r="41" spans="5:7" x14ac:dyDescent="0.2">
      <c r="E41" s="75"/>
      <c r="F41" s="75"/>
      <c r="G41" s="75"/>
    </row>
  </sheetData>
  <mergeCells count="9">
    <mergeCell ref="G2:G4"/>
    <mergeCell ref="E37:F37"/>
    <mergeCell ref="C1:F1"/>
    <mergeCell ref="F2:F4"/>
    <mergeCell ref="A2:A4"/>
    <mergeCell ref="B2:B4"/>
    <mergeCell ref="C2:C4"/>
    <mergeCell ref="D2:D4"/>
    <mergeCell ref="E2:E4"/>
  </mergeCells>
  <pageMargins left="0.7" right="0.7" top="0.75" bottom="0.75" header="0.3" footer="0.3"/>
  <pageSetup scale="53" fitToHeight="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CFF44-E09C-4F74-8622-56187B76B3CE}">
  <sheetPr>
    <pageSetUpPr fitToPage="1"/>
  </sheetPr>
  <dimension ref="A1:K11"/>
  <sheetViews>
    <sheetView topLeftCell="D1" zoomScale="125" zoomScaleNormal="85" workbookViewId="0">
      <selection activeCell="K5" sqref="K5"/>
    </sheetView>
  </sheetViews>
  <sheetFormatPr baseColWidth="10" defaultColWidth="10.83203125" defaultRowHeight="16" x14ac:dyDescent="0.2"/>
  <cols>
    <col min="1" max="1" width="3.6640625" style="33" customWidth="1"/>
    <col min="2" max="2" width="38.33203125" style="16" customWidth="1"/>
    <col min="3" max="3" width="47.6640625" style="17" customWidth="1"/>
    <col min="4" max="4" width="8.5" style="31" bestFit="1" customWidth="1"/>
    <col min="5" max="5" width="5.1640625" style="31" customWidth="1"/>
    <col min="6" max="6" width="18.5" style="16" customWidth="1"/>
    <col min="7" max="7" width="21.5" style="16" customWidth="1"/>
    <col min="8" max="8" width="53.5" style="16" customWidth="1"/>
    <col min="9" max="9" width="10.83203125" style="16"/>
    <col min="10" max="10" width="29.6640625" style="16" bestFit="1" customWidth="1"/>
    <col min="11" max="11" width="15.1640625" style="16" bestFit="1" customWidth="1"/>
    <col min="12" max="16384" width="10.83203125" style="16"/>
  </cols>
  <sheetData>
    <row r="1" spans="1:11" ht="52" customHeight="1" x14ac:dyDescent="0.2">
      <c r="A1" s="14"/>
      <c r="B1" s="15"/>
      <c r="C1" s="184"/>
      <c r="D1" s="184"/>
      <c r="E1" s="184"/>
    </row>
    <row r="2" spans="1:11" ht="42" customHeight="1" x14ac:dyDescent="0.2">
      <c r="A2" s="18" t="s">
        <v>18</v>
      </c>
      <c r="B2" s="18" t="s">
        <v>19</v>
      </c>
      <c r="C2" s="18" t="s">
        <v>92</v>
      </c>
      <c r="D2" s="18" t="s">
        <v>20</v>
      </c>
      <c r="E2" s="18" t="s">
        <v>2</v>
      </c>
      <c r="F2" s="18" t="s">
        <v>59</v>
      </c>
      <c r="G2" s="18" t="s">
        <v>21</v>
      </c>
      <c r="H2" s="18" t="s">
        <v>91</v>
      </c>
      <c r="J2" s="17" t="s">
        <v>377</v>
      </c>
      <c r="K2" s="17" t="s">
        <v>376</v>
      </c>
    </row>
    <row r="3" spans="1:11" ht="17" x14ac:dyDescent="0.2">
      <c r="A3" s="19">
        <v>1</v>
      </c>
      <c r="B3" s="38" t="s">
        <v>348</v>
      </c>
      <c r="C3" s="21" t="s">
        <v>60</v>
      </c>
      <c r="D3" s="22" t="s">
        <v>34</v>
      </c>
      <c r="E3" s="26">
        <v>1</v>
      </c>
      <c r="F3" s="23">
        <v>14280000</v>
      </c>
      <c r="G3" s="79">
        <f>F3*E3</f>
        <v>14280000</v>
      </c>
      <c r="H3" s="80" t="s">
        <v>286</v>
      </c>
      <c r="J3" s="97">
        <f>200000+100000</f>
        <v>300000</v>
      </c>
      <c r="K3" s="98">
        <f>J3*36</f>
        <v>10800000</v>
      </c>
    </row>
    <row r="4" spans="1:11" ht="38.5" customHeight="1" x14ac:dyDescent="0.2">
      <c r="A4" s="19">
        <v>2</v>
      </c>
      <c r="B4" s="38" t="s">
        <v>349</v>
      </c>
      <c r="C4" s="21" t="s">
        <v>334</v>
      </c>
      <c r="D4" s="22" t="s">
        <v>34</v>
      </c>
      <c r="E4" s="26">
        <v>1</v>
      </c>
      <c r="F4" s="23">
        <v>4778470</v>
      </c>
      <c r="G4" s="79">
        <f>F4*E4</f>
        <v>4778470</v>
      </c>
      <c r="H4" s="80" t="s">
        <v>335</v>
      </c>
      <c r="J4" s="97">
        <v>100000</v>
      </c>
      <c r="K4" s="98">
        <f>J4*36</f>
        <v>3600000</v>
      </c>
    </row>
    <row r="5" spans="1:11" ht="17" x14ac:dyDescent="0.2">
      <c r="A5" s="27"/>
      <c r="B5" s="28"/>
      <c r="C5" s="27" t="s">
        <v>58</v>
      </c>
      <c r="D5" s="29"/>
      <c r="E5" s="27"/>
      <c r="F5" s="30"/>
      <c r="G5" s="30">
        <f>SUM(G3:G4)</f>
        <v>19058470</v>
      </c>
      <c r="H5" s="84"/>
    </row>
    <row r="6" spans="1:11" s="17" customFormat="1" x14ac:dyDescent="0.2">
      <c r="A6" s="33"/>
      <c r="B6" s="16"/>
      <c r="D6" s="31"/>
      <c r="E6" s="31"/>
      <c r="F6" s="16"/>
      <c r="G6" s="32"/>
      <c r="H6" s="16"/>
      <c r="K6" s="99">
        <f>SUM(K3:K4)</f>
        <v>14400000</v>
      </c>
    </row>
    <row r="7" spans="1:11" s="17" customFormat="1" x14ac:dyDescent="0.2">
      <c r="A7" s="33"/>
      <c r="B7" s="16"/>
      <c r="D7" s="31"/>
      <c r="E7" s="31"/>
      <c r="F7" s="32"/>
      <c r="G7" s="32"/>
      <c r="H7" s="16"/>
    </row>
    <row r="8" spans="1:11" s="17" customFormat="1" x14ac:dyDescent="0.2">
      <c r="A8" s="33"/>
      <c r="B8" s="16"/>
      <c r="D8" s="31"/>
      <c r="E8" s="31"/>
      <c r="F8" s="86"/>
      <c r="G8" s="86"/>
      <c r="H8" s="16"/>
    </row>
    <row r="9" spans="1:11" s="17" customFormat="1" x14ac:dyDescent="0.2">
      <c r="A9" s="33"/>
      <c r="B9" s="16"/>
      <c r="D9" s="31"/>
      <c r="E9" s="31"/>
      <c r="F9" s="16"/>
      <c r="G9" s="16"/>
      <c r="H9" s="16"/>
    </row>
    <row r="10" spans="1:11" x14ac:dyDescent="0.2">
      <c r="F10" s="86"/>
    </row>
    <row r="11" spans="1:11" x14ac:dyDescent="0.2">
      <c r="F11" s="86"/>
      <c r="G11" s="86"/>
    </row>
  </sheetData>
  <mergeCells count="1">
    <mergeCell ref="C1:E1"/>
  </mergeCells>
  <pageMargins left="0.7" right="0.7" top="0.75" bottom="0.75" header="0.3" footer="0.3"/>
  <pageSetup scale="48"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210F-3877-C145-91A9-59D46BCB0AB9}">
  <dimension ref="B2:C28"/>
  <sheetViews>
    <sheetView zoomScale="150" workbookViewId="0">
      <selection activeCell="C35" sqref="C35"/>
    </sheetView>
  </sheetViews>
  <sheetFormatPr baseColWidth="10" defaultColWidth="10.83203125" defaultRowHeight="15" x14ac:dyDescent="0.2"/>
  <cols>
    <col min="2" max="2" width="10.6640625" style="48" customWidth="1"/>
    <col min="3" max="3" width="68.6640625" bestFit="1" customWidth="1"/>
    <col min="4" max="5" width="60" customWidth="1"/>
  </cols>
  <sheetData>
    <row r="2" spans="2:3" x14ac:dyDescent="0.2">
      <c r="B2" s="186" t="s">
        <v>336</v>
      </c>
      <c r="C2" s="185"/>
    </row>
    <row r="4" spans="2:3" x14ac:dyDescent="0.2">
      <c r="B4" s="50" t="s">
        <v>295</v>
      </c>
      <c r="C4" s="50" t="s">
        <v>296</v>
      </c>
    </row>
    <row r="5" spans="2:3" x14ac:dyDescent="0.2">
      <c r="B5" s="187" t="s">
        <v>311</v>
      </c>
      <c r="C5" s="187"/>
    </row>
    <row r="6" spans="2:3" x14ac:dyDescent="0.2">
      <c r="B6" s="49">
        <v>1</v>
      </c>
      <c r="C6" s="36" t="s">
        <v>337</v>
      </c>
    </row>
    <row r="7" spans="2:3" x14ac:dyDescent="0.2">
      <c r="B7" s="49">
        <v>2</v>
      </c>
      <c r="C7" s="36" t="s">
        <v>338</v>
      </c>
    </row>
    <row r="8" spans="2:3" x14ac:dyDescent="0.2">
      <c r="B8" s="187" t="s">
        <v>306</v>
      </c>
      <c r="C8" s="187"/>
    </row>
    <row r="9" spans="2:3" x14ac:dyDescent="0.2">
      <c r="B9" s="49">
        <v>3</v>
      </c>
      <c r="C9" s="36" t="s">
        <v>339</v>
      </c>
    </row>
    <row r="10" spans="2:3" ht="32" x14ac:dyDescent="0.2">
      <c r="B10" s="49">
        <v>4</v>
      </c>
      <c r="C10" s="37" t="s">
        <v>340</v>
      </c>
    </row>
    <row r="11" spans="2:3" x14ac:dyDescent="0.2">
      <c r="B11" s="187" t="s">
        <v>299</v>
      </c>
      <c r="C11" s="187"/>
    </row>
    <row r="12" spans="2:3" x14ac:dyDescent="0.2">
      <c r="B12" s="49">
        <v>5</v>
      </c>
      <c r="C12" s="36" t="s">
        <v>297</v>
      </c>
    </row>
    <row r="13" spans="2:3" x14ac:dyDescent="0.2">
      <c r="B13" s="49">
        <v>6</v>
      </c>
      <c r="C13" s="36" t="s">
        <v>298</v>
      </c>
    </row>
    <row r="14" spans="2:3" x14ac:dyDescent="0.2">
      <c r="B14" s="187" t="s">
        <v>300</v>
      </c>
      <c r="C14" s="187"/>
    </row>
    <row r="15" spans="2:3" ht="16" x14ac:dyDescent="0.2">
      <c r="B15" s="49">
        <v>7</v>
      </c>
      <c r="C15" s="37" t="s">
        <v>301</v>
      </c>
    </row>
    <row r="16" spans="2:3" x14ac:dyDescent="0.2">
      <c r="B16" s="49">
        <v>8</v>
      </c>
      <c r="C16" s="36" t="s">
        <v>302</v>
      </c>
    </row>
    <row r="17" spans="2:3" x14ac:dyDescent="0.2">
      <c r="B17" s="187" t="s">
        <v>303</v>
      </c>
      <c r="C17" s="187"/>
    </row>
    <row r="18" spans="2:3" x14ac:dyDescent="0.2">
      <c r="B18" s="49">
        <v>9</v>
      </c>
      <c r="C18" s="36" t="s">
        <v>304</v>
      </c>
    </row>
    <row r="19" spans="2:3" x14ac:dyDescent="0.2">
      <c r="B19" s="49">
        <v>10</v>
      </c>
      <c r="C19" s="36" t="s">
        <v>305</v>
      </c>
    </row>
    <row r="22" spans="2:3" x14ac:dyDescent="0.2">
      <c r="B22" s="185" t="s">
        <v>343</v>
      </c>
      <c r="C22" s="185"/>
    </row>
    <row r="23" spans="2:3" x14ac:dyDescent="0.2">
      <c r="B23" s="50" t="s">
        <v>295</v>
      </c>
      <c r="C23" s="50" t="s">
        <v>296</v>
      </c>
    </row>
    <row r="24" spans="2:3" x14ac:dyDescent="0.2">
      <c r="B24" s="49">
        <v>1</v>
      </c>
      <c r="C24" s="36" t="s">
        <v>307</v>
      </c>
    </row>
    <row r="25" spans="2:3" x14ac:dyDescent="0.2">
      <c r="B25" s="49">
        <v>2</v>
      </c>
      <c r="C25" s="36" t="s">
        <v>308</v>
      </c>
    </row>
    <row r="26" spans="2:3" x14ac:dyDescent="0.2">
      <c r="B26" s="49">
        <v>3</v>
      </c>
      <c r="C26" s="36" t="s">
        <v>341</v>
      </c>
    </row>
    <row r="27" spans="2:3" x14ac:dyDescent="0.2">
      <c r="B27" s="49">
        <v>4</v>
      </c>
      <c r="C27" s="36" t="s">
        <v>309</v>
      </c>
    </row>
    <row r="28" spans="2:3" x14ac:dyDescent="0.2">
      <c r="B28" s="49">
        <v>5</v>
      </c>
      <c r="C28" s="36" t="s">
        <v>310</v>
      </c>
    </row>
  </sheetData>
  <mergeCells count="7">
    <mergeCell ref="B22:C22"/>
    <mergeCell ref="B2:C2"/>
    <mergeCell ref="B5:C5"/>
    <mergeCell ref="B8:C8"/>
    <mergeCell ref="B11:C11"/>
    <mergeCell ref="B14:C14"/>
    <mergeCell ref="B17:C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214B-8BFE-C244-BE5A-5DDF33BC273A}">
  <dimension ref="B4:H15"/>
  <sheetViews>
    <sheetView tabSelected="1" workbookViewId="0">
      <selection activeCell="K14" sqref="K14"/>
    </sheetView>
  </sheetViews>
  <sheetFormatPr baseColWidth="10" defaultColWidth="11.5" defaultRowHeight="15" x14ac:dyDescent="0.2"/>
  <cols>
    <col min="3" max="3" width="29.6640625" customWidth="1"/>
    <col min="4" max="4" width="5.1640625" bestFit="1" customWidth="1"/>
    <col min="5" max="5" width="7.1640625" bestFit="1" customWidth="1"/>
    <col min="6" max="6" width="14.5" bestFit="1" customWidth="1"/>
    <col min="7" max="7" width="14" customWidth="1"/>
    <col min="8" max="8" width="17.33203125" customWidth="1"/>
  </cols>
  <sheetData>
    <row r="4" spans="2:8" x14ac:dyDescent="0.2">
      <c r="B4" s="50" t="s">
        <v>295</v>
      </c>
      <c r="C4" s="50" t="s">
        <v>359</v>
      </c>
      <c r="D4" s="50" t="s">
        <v>2</v>
      </c>
      <c r="E4" s="50" t="s">
        <v>354</v>
      </c>
      <c r="F4" s="50" t="s">
        <v>361</v>
      </c>
      <c r="G4" s="50" t="s">
        <v>355</v>
      </c>
      <c r="H4" s="50" t="s">
        <v>356</v>
      </c>
    </row>
    <row r="5" spans="2:8" x14ac:dyDescent="0.2">
      <c r="B5" s="49">
        <v>1</v>
      </c>
      <c r="C5" s="49" t="s">
        <v>350</v>
      </c>
      <c r="D5" s="49">
        <v>1</v>
      </c>
      <c r="E5" s="49">
        <v>8</v>
      </c>
      <c r="F5" s="49">
        <f>D5*E5</f>
        <v>8</v>
      </c>
      <c r="G5" s="93">
        <v>200000</v>
      </c>
      <c r="H5" s="93">
        <f t="shared" ref="H5:H10" si="0">G5*E5</f>
        <v>1600000</v>
      </c>
    </row>
    <row r="6" spans="2:8" x14ac:dyDescent="0.2">
      <c r="B6" s="49">
        <v>2</v>
      </c>
      <c r="C6" s="49" t="s">
        <v>358</v>
      </c>
      <c r="D6" s="49">
        <v>1</v>
      </c>
      <c r="E6" s="49">
        <v>2</v>
      </c>
      <c r="F6" s="49">
        <f t="shared" ref="F6:F11" si="1">D6*E6</f>
        <v>2</v>
      </c>
      <c r="G6" s="93">
        <v>300000</v>
      </c>
      <c r="H6" s="93">
        <f t="shared" si="0"/>
        <v>600000</v>
      </c>
    </row>
    <row r="7" spans="2:8" x14ac:dyDescent="0.2">
      <c r="B7" s="49">
        <v>3</v>
      </c>
      <c r="C7" s="49" t="s">
        <v>351</v>
      </c>
      <c r="D7" s="49">
        <v>1</v>
      </c>
      <c r="E7" s="49">
        <v>8</v>
      </c>
      <c r="F7" s="49">
        <f t="shared" si="1"/>
        <v>8</v>
      </c>
      <c r="G7" s="93">
        <v>150000</v>
      </c>
      <c r="H7" s="93">
        <f t="shared" si="0"/>
        <v>1200000</v>
      </c>
    </row>
    <row r="8" spans="2:8" x14ac:dyDescent="0.2">
      <c r="B8" s="49">
        <v>4</v>
      </c>
      <c r="C8" s="49" t="s">
        <v>352</v>
      </c>
      <c r="D8" s="49">
        <v>1</v>
      </c>
      <c r="E8" s="49">
        <v>3</v>
      </c>
      <c r="F8" s="49">
        <f t="shared" si="1"/>
        <v>3</v>
      </c>
      <c r="G8" s="93">
        <v>300000</v>
      </c>
      <c r="H8" s="93">
        <f t="shared" si="0"/>
        <v>900000</v>
      </c>
    </row>
    <row r="9" spans="2:8" x14ac:dyDescent="0.2">
      <c r="B9" s="49">
        <v>5</v>
      </c>
      <c r="C9" s="49" t="s">
        <v>357</v>
      </c>
      <c r="D9" s="49">
        <v>1</v>
      </c>
      <c r="E9" s="49">
        <v>4</v>
      </c>
      <c r="F9" s="49">
        <f t="shared" si="1"/>
        <v>4</v>
      </c>
      <c r="G9" s="93">
        <v>200000</v>
      </c>
      <c r="H9" s="93">
        <f t="shared" si="0"/>
        <v>800000</v>
      </c>
    </row>
    <row r="10" spans="2:8" x14ac:dyDescent="0.2">
      <c r="B10" s="49">
        <v>6</v>
      </c>
      <c r="C10" s="49" t="s">
        <v>353</v>
      </c>
      <c r="D10" s="49">
        <v>1</v>
      </c>
      <c r="E10" s="49">
        <v>4</v>
      </c>
      <c r="F10" s="49">
        <f t="shared" si="1"/>
        <v>4</v>
      </c>
      <c r="G10" s="93">
        <v>200000</v>
      </c>
      <c r="H10" s="93">
        <f t="shared" si="0"/>
        <v>800000</v>
      </c>
    </row>
    <row r="11" spans="2:8" x14ac:dyDescent="0.2">
      <c r="B11" s="49">
        <v>7</v>
      </c>
      <c r="C11" s="49" t="s">
        <v>360</v>
      </c>
      <c r="D11" s="49">
        <v>2</v>
      </c>
      <c r="E11" s="49">
        <v>8</v>
      </c>
      <c r="F11" s="49">
        <f t="shared" si="1"/>
        <v>16</v>
      </c>
      <c r="G11" s="93">
        <v>100000</v>
      </c>
      <c r="H11" s="93">
        <f>G11*E11*D11</f>
        <v>1600000</v>
      </c>
    </row>
    <row r="12" spans="2:8" x14ac:dyDescent="0.2">
      <c r="B12" s="165" t="s">
        <v>363</v>
      </c>
      <c r="C12" s="165"/>
      <c r="D12" s="165"/>
      <c r="E12" s="165"/>
      <c r="F12" s="165"/>
      <c r="G12" s="165"/>
      <c r="H12" s="93">
        <f>SUM(H5:H11)</f>
        <v>7500000</v>
      </c>
    </row>
    <row r="13" spans="2:8" x14ac:dyDescent="0.2">
      <c r="B13" s="165" t="s">
        <v>362</v>
      </c>
      <c r="C13" s="165"/>
      <c r="D13" s="165"/>
      <c r="E13" s="165"/>
      <c r="F13" s="165"/>
      <c r="G13" s="165"/>
      <c r="H13" s="93">
        <v>1500000</v>
      </c>
    </row>
    <row r="14" spans="2:8" x14ac:dyDescent="0.2">
      <c r="B14" s="165" t="s">
        <v>365</v>
      </c>
      <c r="C14" s="165"/>
      <c r="D14" s="165"/>
      <c r="E14" s="165"/>
      <c r="F14" s="165"/>
      <c r="G14" s="165"/>
      <c r="H14" s="93">
        <f>50*1200*90</f>
        <v>5400000</v>
      </c>
    </row>
    <row r="15" spans="2:8" x14ac:dyDescent="0.2">
      <c r="B15" s="165" t="s">
        <v>364</v>
      </c>
      <c r="C15" s="165"/>
      <c r="D15" s="165"/>
      <c r="E15" s="165"/>
      <c r="F15" s="165"/>
      <c r="G15" s="165"/>
      <c r="H15" s="93">
        <f>SUM(H12:H14)</f>
        <v>14400000</v>
      </c>
    </row>
  </sheetData>
  <mergeCells count="4">
    <mergeCell ref="B13:G13"/>
    <mergeCell ref="B12:G12"/>
    <mergeCell ref="B14:G14"/>
    <mergeCell ref="B15:G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261"/>
  <sheetViews>
    <sheetView topLeftCell="A193" zoomScale="175" zoomScaleNormal="175" workbookViewId="0">
      <selection activeCell="B208" sqref="B208"/>
    </sheetView>
  </sheetViews>
  <sheetFormatPr baseColWidth="10" defaultColWidth="8.83203125" defaultRowHeight="15" x14ac:dyDescent="0.2"/>
  <cols>
    <col min="1" max="1" width="6.1640625" style="7" bestFit="1" customWidth="1"/>
    <col min="2" max="2" width="52.5" style="3" bestFit="1" customWidth="1"/>
    <col min="3" max="3" width="5.6640625" style="7" bestFit="1" customWidth="1"/>
    <col min="4" max="4" width="8.33203125" style="7" bestFit="1" customWidth="1"/>
  </cols>
  <sheetData>
    <row r="1" spans="1:4" ht="19" x14ac:dyDescent="0.2">
      <c r="A1" s="12" t="s">
        <v>277</v>
      </c>
      <c r="B1" s="12"/>
      <c r="C1" s="188"/>
      <c r="D1" s="189"/>
    </row>
    <row r="2" spans="1:4" s="1" customFormat="1" ht="15" customHeight="1" x14ac:dyDescent="0.2">
      <c r="A2" s="190" t="s">
        <v>0</v>
      </c>
      <c r="B2" s="190" t="s">
        <v>47</v>
      </c>
      <c r="C2" s="190" t="s">
        <v>1</v>
      </c>
      <c r="D2" s="191" t="s">
        <v>2</v>
      </c>
    </row>
    <row r="3" spans="1:4" s="1" customFormat="1" ht="14.25" customHeight="1" x14ac:dyDescent="0.2">
      <c r="A3" s="190"/>
      <c r="B3" s="190"/>
      <c r="C3" s="190"/>
      <c r="D3" s="191"/>
    </row>
    <row r="4" spans="1:4" s="1" customFormat="1" ht="14.25" customHeight="1" x14ac:dyDescent="0.2">
      <c r="A4" s="190"/>
      <c r="B4" s="190"/>
      <c r="C4" s="190"/>
      <c r="D4" s="191"/>
    </row>
    <row r="5" spans="1:4" ht="64" x14ac:dyDescent="0.2">
      <c r="A5" s="4">
        <v>1</v>
      </c>
      <c r="B5" s="2" t="s">
        <v>83</v>
      </c>
      <c r="C5" s="4" t="s">
        <v>3</v>
      </c>
      <c r="D5" s="4">
        <v>1</v>
      </c>
    </row>
    <row r="6" spans="1:4" ht="48" x14ac:dyDescent="0.2">
      <c r="A6" s="4"/>
      <c r="B6" s="2" t="s">
        <v>269</v>
      </c>
      <c r="C6" s="4" t="s">
        <v>93</v>
      </c>
      <c r="D6" s="4">
        <v>1</v>
      </c>
    </row>
    <row r="7" spans="1:4" ht="32" x14ac:dyDescent="0.2">
      <c r="A7" s="4"/>
      <c r="B7" s="2" t="s">
        <v>268</v>
      </c>
      <c r="C7" s="4" t="s">
        <v>260</v>
      </c>
      <c r="D7" s="4">
        <f>(25*4)*10.76</f>
        <v>1076</v>
      </c>
    </row>
    <row r="8" spans="1:4" ht="16" x14ac:dyDescent="0.2">
      <c r="A8" s="4"/>
      <c r="B8" s="2" t="s">
        <v>267</v>
      </c>
      <c r="C8" s="4" t="s">
        <v>260</v>
      </c>
      <c r="D8" s="4">
        <v>3000</v>
      </c>
    </row>
    <row r="9" spans="1:4" ht="16" x14ac:dyDescent="0.2">
      <c r="A9" s="4"/>
      <c r="B9" s="2" t="s">
        <v>278</v>
      </c>
      <c r="C9" s="4" t="s">
        <v>93</v>
      </c>
      <c r="D9" s="4">
        <v>1</v>
      </c>
    </row>
    <row r="10" spans="1:4" ht="32" x14ac:dyDescent="0.2">
      <c r="A10" s="4"/>
      <c r="B10" s="2" t="s">
        <v>266</v>
      </c>
      <c r="C10" s="4" t="s">
        <v>93</v>
      </c>
      <c r="D10" s="4">
        <v>1</v>
      </c>
    </row>
    <row r="11" spans="1:4" ht="32" x14ac:dyDescent="0.2">
      <c r="A11" s="4"/>
      <c r="B11" s="2" t="s">
        <v>265</v>
      </c>
      <c r="C11" s="4" t="s">
        <v>93</v>
      </c>
      <c r="D11" s="4">
        <v>1</v>
      </c>
    </row>
    <row r="12" spans="1:4" ht="16" x14ac:dyDescent="0.2">
      <c r="A12" s="4"/>
      <c r="B12" s="2" t="s">
        <v>264</v>
      </c>
      <c r="C12" s="4" t="s">
        <v>260</v>
      </c>
      <c r="D12" s="4">
        <f>D7*2</f>
        <v>2152</v>
      </c>
    </row>
    <row r="13" spans="1:4" ht="16" x14ac:dyDescent="0.2">
      <c r="A13" s="4"/>
      <c r="B13" s="2" t="s">
        <v>263</v>
      </c>
      <c r="C13" s="4" t="s">
        <v>260</v>
      </c>
      <c r="D13" s="4">
        <f>((16+3)*1.2)*10.76</f>
        <v>245.328</v>
      </c>
    </row>
    <row r="14" spans="1:4" ht="16" x14ac:dyDescent="0.2">
      <c r="A14" s="4"/>
      <c r="B14" s="2" t="s">
        <v>262</v>
      </c>
      <c r="C14" s="4" t="s">
        <v>10</v>
      </c>
      <c r="D14" s="4">
        <v>7</v>
      </c>
    </row>
    <row r="15" spans="1:4" ht="16" x14ac:dyDescent="0.2">
      <c r="A15" s="4"/>
      <c r="B15" s="2" t="s">
        <v>261</v>
      </c>
      <c r="C15" s="4" t="s">
        <v>260</v>
      </c>
      <c r="D15" s="4">
        <f>1550*1.1</f>
        <v>1705.0000000000002</v>
      </c>
    </row>
    <row r="16" spans="1:4" ht="16" x14ac:dyDescent="0.2">
      <c r="A16" s="4"/>
      <c r="B16" s="2" t="s">
        <v>259</v>
      </c>
      <c r="C16" s="4" t="s">
        <v>93</v>
      </c>
      <c r="D16" s="4">
        <v>1</v>
      </c>
    </row>
    <row r="17" spans="1:4" ht="16" x14ac:dyDescent="0.2">
      <c r="A17" s="4"/>
      <c r="B17" s="2" t="s">
        <v>258</v>
      </c>
      <c r="C17" s="4" t="s">
        <v>98</v>
      </c>
      <c r="D17" s="4">
        <v>1</v>
      </c>
    </row>
    <row r="18" spans="1:4" ht="16" x14ac:dyDescent="0.2">
      <c r="A18" s="4"/>
      <c r="B18" s="2" t="s">
        <v>257</v>
      </c>
      <c r="C18" s="4" t="s">
        <v>115</v>
      </c>
      <c r="D18" s="4">
        <v>6</v>
      </c>
    </row>
    <row r="19" spans="1:4" ht="16" x14ac:dyDescent="0.2">
      <c r="A19" s="4"/>
      <c r="B19" s="2" t="s">
        <v>256</v>
      </c>
      <c r="C19" s="4" t="s">
        <v>93</v>
      </c>
      <c r="D19" s="4">
        <v>1</v>
      </c>
    </row>
    <row r="20" spans="1:4" ht="16" x14ac:dyDescent="0.2">
      <c r="A20" s="4"/>
      <c r="B20" s="2" t="s">
        <v>255</v>
      </c>
      <c r="C20" s="4" t="s">
        <v>98</v>
      </c>
      <c r="D20" s="4">
        <v>1</v>
      </c>
    </row>
    <row r="21" spans="1:4" ht="32" x14ac:dyDescent="0.2">
      <c r="A21" s="4"/>
      <c r="B21" s="2" t="s">
        <v>254</v>
      </c>
      <c r="C21" s="4" t="s">
        <v>10</v>
      </c>
      <c r="D21" s="4">
        <v>6</v>
      </c>
    </row>
    <row r="22" spans="1:4" ht="16" x14ac:dyDescent="0.2">
      <c r="A22" s="4"/>
      <c r="B22" s="2" t="s">
        <v>253</v>
      </c>
      <c r="C22" s="4" t="s">
        <v>10</v>
      </c>
      <c r="D22" s="4">
        <v>6</v>
      </c>
    </row>
    <row r="23" spans="1:4" ht="32" x14ac:dyDescent="0.2">
      <c r="A23" s="4"/>
      <c r="B23" s="2" t="s">
        <v>252</v>
      </c>
      <c r="C23" s="4" t="s">
        <v>98</v>
      </c>
      <c r="D23" s="4">
        <v>1</v>
      </c>
    </row>
    <row r="24" spans="1:4" ht="32" x14ac:dyDescent="0.2">
      <c r="A24" s="4"/>
      <c r="B24" s="2" t="s">
        <v>251</v>
      </c>
      <c r="C24" s="4" t="s">
        <v>98</v>
      </c>
      <c r="D24" s="4">
        <v>1</v>
      </c>
    </row>
    <row r="25" spans="1:4" ht="32" x14ac:dyDescent="0.2">
      <c r="A25" s="4"/>
      <c r="B25" s="2" t="s">
        <v>250</v>
      </c>
      <c r="C25" s="4" t="s">
        <v>98</v>
      </c>
      <c r="D25" s="4">
        <v>1</v>
      </c>
    </row>
    <row r="26" spans="1:4" ht="48" x14ac:dyDescent="0.2">
      <c r="A26" s="4"/>
      <c r="B26" s="2" t="s">
        <v>249</v>
      </c>
      <c r="C26" s="4" t="s">
        <v>98</v>
      </c>
      <c r="D26" s="4">
        <v>1</v>
      </c>
    </row>
    <row r="27" spans="1:4" ht="32" x14ac:dyDescent="0.2">
      <c r="A27" s="4"/>
      <c r="B27" s="2" t="s">
        <v>279</v>
      </c>
      <c r="C27" s="4" t="s">
        <v>281</v>
      </c>
      <c r="D27" s="4">
        <v>1</v>
      </c>
    </row>
    <row r="28" spans="1:4" ht="32" x14ac:dyDescent="0.2">
      <c r="A28" s="4">
        <v>2</v>
      </c>
      <c r="B28" s="34" t="s">
        <v>248</v>
      </c>
      <c r="C28" s="4" t="s">
        <v>10</v>
      </c>
      <c r="D28" s="4">
        <v>3</v>
      </c>
    </row>
    <row r="29" spans="1:4" ht="32" x14ac:dyDescent="0.2">
      <c r="A29" s="4">
        <v>3</v>
      </c>
      <c r="B29" s="34" t="s">
        <v>247</v>
      </c>
      <c r="C29" s="4" t="s">
        <v>5</v>
      </c>
      <c r="D29" s="4">
        <v>1</v>
      </c>
    </row>
    <row r="30" spans="1:4" ht="16" x14ac:dyDescent="0.2">
      <c r="A30" s="4">
        <v>4</v>
      </c>
      <c r="B30" s="34" t="s">
        <v>4</v>
      </c>
      <c r="C30" s="4" t="s">
        <v>5</v>
      </c>
      <c r="D30" s="4">
        <v>1</v>
      </c>
    </row>
    <row r="31" spans="1:4" ht="16" x14ac:dyDescent="0.2">
      <c r="A31" s="4"/>
      <c r="B31" s="2" t="s">
        <v>246</v>
      </c>
      <c r="C31" s="4" t="s">
        <v>5</v>
      </c>
      <c r="D31" s="4">
        <v>1</v>
      </c>
    </row>
    <row r="32" spans="1:4" ht="32" x14ac:dyDescent="0.2">
      <c r="A32" s="4"/>
      <c r="B32" s="2" t="s">
        <v>245</v>
      </c>
      <c r="C32" s="4" t="s">
        <v>93</v>
      </c>
      <c r="D32" s="4">
        <v>1</v>
      </c>
    </row>
    <row r="33" spans="1:4" ht="16" x14ac:dyDescent="0.2">
      <c r="A33" s="4"/>
      <c r="B33" s="2" t="s">
        <v>105</v>
      </c>
      <c r="C33" s="4" t="s">
        <v>103</v>
      </c>
      <c r="D33" s="4">
        <v>3</v>
      </c>
    </row>
    <row r="34" spans="1:4" ht="16" x14ac:dyDescent="0.2">
      <c r="A34" s="4"/>
      <c r="B34" s="2" t="s">
        <v>104</v>
      </c>
      <c r="C34" s="4" t="s">
        <v>103</v>
      </c>
      <c r="D34" s="4">
        <v>3</v>
      </c>
    </row>
    <row r="35" spans="1:4" ht="16" x14ac:dyDescent="0.2">
      <c r="A35" s="4"/>
      <c r="B35" s="2" t="s">
        <v>102</v>
      </c>
      <c r="C35" s="4" t="s">
        <v>93</v>
      </c>
      <c r="D35" s="4">
        <v>1</v>
      </c>
    </row>
    <row r="36" spans="1:4" ht="16" x14ac:dyDescent="0.2">
      <c r="A36" s="4"/>
      <c r="B36" s="2" t="s">
        <v>244</v>
      </c>
      <c r="C36" s="4" t="s">
        <v>243</v>
      </c>
      <c r="D36" s="4">
        <v>200</v>
      </c>
    </row>
    <row r="37" spans="1:4" ht="16" x14ac:dyDescent="0.2">
      <c r="A37" s="4"/>
      <c r="B37" s="2" t="s">
        <v>100</v>
      </c>
      <c r="C37" s="4" t="s">
        <v>98</v>
      </c>
      <c r="D37" s="4">
        <v>1</v>
      </c>
    </row>
    <row r="38" spans="1:4" ht="32" x14ac:dyDescent="0.2">
      <c r="A38" s="4"/>
      <c r="B38" s="2" t="s">
        <v>242</v>
      </c>
      <c r="C38" s="4" t="s">
        <v>98</v>
      </c>
      <c r="D38" s="4">
        <v>1</v>
      </c>
    </row>
    <row r="39" spans="1:4" ht="16" x14ac:dyDescent="0.2">
      <c r="A39" s="4"/>
      <c r="B39" s="2" t="s">
        <v>241</v>
      </c>
      <c r="C39" s="4" t="s">
        <v>10</v>
      </c>
      <c r="D39" s="4">
        <v>4</v>
      </c>
    </row>
    <row r="40" spans="1:4" ht="16" x14ac:dyDescent="0.2">
      <c r="A40" s="4">
        <v>5</v>
      </c>
      <c r="B40" s="2" t="s">
        <v>280</v>
      </c>
      <c r="C40" s="4" t="s">
        <v>10</v>
      </c>
      <c r="D40" s="4">
        <v>2</v>
      </c>
    </row>
    <row r="41" spans="1:4" ht="16" x14ac:dyDescent="0.2">
      <c r="A41" s="4"/>
      <c r="B41" s="2" t="s">
        <v>240</v>
      </c>
      <c r="C41" s="4" t="s">
        <v>10</v>
      </c>
      <c r="D41" s="4">
        <v>2</v>
      </c>
    </row>
    <row r="42" spans="1:4" ht="32" x14ac:dyDescent="0.2">
      <c r="A42" s="4"/>
      <c r="B42" s="2" t="s">
        <v>239</v>
      </c>
      <c r="C42" s="4" t="s">
        <v>142</v>
      </c>
      <c r="D42" s="4">
        <v>2</v>
      </c>
    </row>
    <row r="43" spans="1:4" ht="16" x14ac:dyDescent="0.2">
      <c r="A43" s="4"/>
      <c r="B43" s="2" t="s">
        <v>238</v>
      </c>
      <c r="C43" s="4" t="s">
        <v>142</v>
      </c>
      <c r="D43" s="4">
        <v>2</v>
      </c>
    </row>
    <row r="44" spans="1:4" ht="16" x14ac:dyDescent="0.2">
      <c r="A44" s="4"/>
      <c r="B44" s="2" t="s">
        <v>237</v>
      </c>
      <c r="C44" s="4" t="s">
        <v>142</v>
      </c>
      <c r="D44" s="4">
        <v>2</v>
      </c>
    </row>
    <row r="45" spans="1:4" ht="16" x14ac:dyDescent="0.2">
      <c r="A45" s="4"/>
      <c r="B45" s="2" t="s">
        <v>236</v>
      </c>
      <c r="C45" s="4" t="s">
        <v>142</v>
      </c>
      <c r="D45" s="4">
        <v>2</v>
      </c>
    </row>
    <row r="46" spans="1:4" ht="16" x14ac:dyDescent="0.2">
      <c r="A46" s="4"/>
      <c r="B46" s="2" t="s">
        <v>105</v>
      </c>
      <c r="C46" s="4" t="s">
        <v>103</v>
      </c>
      <c r="D46" s="4">
        <v>3</v>
      </c>
    </row>
    <row r="47" spans="1:4" ht="16" x14ac:dyDescent="0.2">
      <c r="A47" s="4"/>
      <c r="B47" s="2" t="s">
        <v>104</v>
      </c>
      <c r="C47" s="4" t="s">
        <v>176</v>
      </c>
      <c r="D47" s="4">
        <v>3</v>
      </c>
    </row>
    <row r="48" spans="1:4" ht="16" x14ac:dyDescent="0.2">
      <c r="A48" s="4"/>
      <c r="B48" s="2" t="s">
        <v>102</v>
      </c>
      <c r="C48" s="4" t="s">
        <v>98</v>
      </c>
      <c r="D48" s="4">
        <v>1</v>
      </c>
    </row>
    <row r="49" spans="1:4" ht="16" x14ac:dyDescent="0.2">
      <c r="A49" s="4"/>
      <c r="B49" s="2" t="s">
        <v>235</v>
      </c>
      <c r="C49" s="4" t="s">
        <v>98</v>
      </c>
      <c r="D49" s="4">
        <v>1</v>
      </c>
    </row>
    <row r="50" spans="1:4" ht="16" x14ac:dyDescent="0.2">
      <c r="A50" s="4"/>
      <c r="B50" s="2" t="s">
        <v>100</v>
      </c>
      <c r="C50" s="4" t="s">
        <v>98</v>
      </c>
      <c r="D50" s="4">
        <v>1</v>
      </c>
    </row>
    <row r="51" spans="1:4" ht="32" x14ac:dyDescent="0.2">
      <c r="A51" s="4"/>
      <c r="B51" s="2" t="s">
        <v>234</v>
      </c>
      <c r="C51" s="4" t="s">
        <v>98</v>
      </c>
      <c r="D51" s="4">
        <v>1</v>
      </c>
    </row>
    <row r="52" spans="1:4" ht="16" x14ac:dyDescent="0.2">
      <c r="A52" s="4">
        <v>6</v>
      </c>
      <c r="B52" s="2" t="s">
        <v>6</v>
      </c>
      <c r="C52" s="4" t="s">
        <v>3</v>
      </c>
      <c r="D52" s="4">
        <v>1</v>
      </c>
    </row>
    <row r="53" spans="1:4" ht="16" x14ac:dyDescent="0.2">
      <c r="A53" s="4"/>
      <c r="B53" s="2" t="s">
        <v>233</v>
      </c>
      <c r="C53" s="4" t="s">
        <v>232</v>
      </c>
      <c r="D53" s="4">
        <v>1</v>
      </c>
    </row>
    <row r="54" spans="1:4" ht="32" x14ac:dyDescent="0.2">
      <c r="A54" s="4"/>
      <c r="B54" s="41" t="s">
        <v>231</v>
      </c>
      <c r="C54" s="4" t="s">
        <v>10</v>
      </c>
      <c r="D54" s="4">
        <v>2</v>
      </c>
    </row>
    <row r="55" spans="1:4" ht="32" x14ac:dyDescent="0.2">
      <c r="A55" s="4"/>
      <c r="B55" s="41" t="s">
        <v>230</v>
      </c>
      <c r="C55" s="4" t="s">
        <v>10</v>
      </c>
      <c r="D55" s="4">
        <v>2</v>
      </c>
    </row>
    <row r="56" spans="1:4" ht="16" x14ac:dyDescent="0.2">
      <c r="A56" s="4"/>
      <c r="B56" s="2" t="s">
        <v>229</v>
      </c>
      <c r="C56" s="4" t="s">
        <v>5</v>
      </c>
      <c r="D56" s="4">
        <v>1</v>
      </c>
    </row>
    <row r="57" spans="1:4" ht="16" x14ac:dyDescent="0.2">
      <c r="A57" s="4"/>
      <c r="B57" s="2" t="s">
        <v>228</v>
      </c>
      <c r="C57" s="4" t="s">
        <v>10</v>
      </c>
      <c r="D57" s="4">
        <v>3</v>
      </c>
    </row>
    <row r="58" spans="1:4" ht="16" x14ac:dyDescent="0.2">
      <c r="A58" s="4"/>
      <c r="B58" s="41" t="s">
        <v>227</v>
      </c>
      <c r="C58" s="4" t="s">
        <v>10</v>
      </c>
      <c r="D58" s="4">
        <v>3</v>
      </c>
    </row>
    <row r="59" spans="1:4" ht="16" x14ac:dyDescent="0.2">
      <c r="A59" s="4"/>
      <c r="B59" s="2" t="s">
        <v>105</v>
      </c>
      <c r="C59" s="4" t="s">
        <v>103</v>
      </c>
      <c r="D59" s="4">
        <v>3</v>
      </c>
    </row>
    <row r="60" spans="1:4" ht="16" x14ac:dyDescent="0.2">
      <c r="A60" s="4"/>
      <c r="B60" s="2" t="s">
        <v>104</v>
      </c>
      <c r="C60" s="4" t="s">
        <v>103</v>
      </c>
      <c r="D60" s="4">
        <v>3</v>
      </c>
    </row>
    <row r="61" spans="1:4" ht="16" x14ac:dyDescent="0.2">
      <c r="A61" s="4"/>
      <c r="B61" s="2" t="s">
        <v>102</v>
      </c>
      <c r="C61" s="4" t="s">
        <v>98</v>
      </c>
      <c r="D61" s="4">
        <v>1</v>
      </c>
    </row>
    <row r="62" spans="1:4" ht="16" x14ac:dyDescent="0.2">
      <c r="A62" s="4"/>
      <c r="B62" s="2" t="s">
        <v>226</v>
      </c>
      <c r="C62" s="4" t="s">
        <v>98</v>
      </c>
      <c r="D62" s="4">
        <v>1</v>
      </c>
    </row>
    <row r="63" spans="1:4" ht="16" x14ac:dyDescent="0.2">
      <c r="A63" s="4"/>
      <c r="B63" s="2" t="s">
        <v>100</v>
      </c>
      <c r="C63" s="4" t="s">
        <v>98</v>
      </c>
      <c r="D63" s="4">
        <v>1</v>
      </c>
    </row>
    <row r="64" spans="1:4" ht="32" x14ac:dyDescent="0.2">
      <c r="A64" s="4"/>
      <c r="B64" s="2" t="s">
        <v>225</v>
      </c>
      <c r="C64" s="4" t="s">
        <v>98</v>
      </c>
      <c r="D64" s="4">
        <v>1</v>
      </c>
    </row>
    <row r="65" spans="1:4" ht="34.5" customHeight="1" x14ac:dyDescent="0.2">
      <c r="A65" s="4">
        <v>7</v>
      </c>
      <c r="B65" s="2" t="s">
        <v>7</v>
      </c>
      <c r="C65" s="4" t="s">
        <v>3</v>
      </c>
      <c r="D65" s="4">
        <v>1</v>
      </c>
    </row>
    <row r="66" spans="1:4" ht="34.5" customHeight="1" x14ac:dyDescent="0.2">
      <c r="A66" s="4"/>
      <c r="B66" s="2" t="s">
        <v>224</v>
      </c>
      <c r="C66" s="4" t="s">
        <v>10</v>
      </c>
      <c r="D66" s="4">
        <v>40</v>
      </c>
    </row>
    <row r="67" spans="1:4" ht="34.5" customHeight="1" x14ac:dyDescent="0.2">
      <c r="A67" s="4"/>
      <c r="B67" s="2" t="s">
        <v>223</v>
      </c>
      <c r="C67" s="4" t="s">
        <v>93</v>
      </c>
      <c r="D67" s="4">
        <v>1</v>
      </c>
    </row>
    <row r="68" spans="1:4" ht="34.5" customHeight="1" x14ac:dyDescent="0.2">
      <c r="A68" s="4"/>
      <c r="B68" s="2" t="s">
        <v>222</v>
      </c>
      <c r="C68" s="4" t="s">
        <v>93</v>
      </c>
      <c r="D68" s="4">
        <v>1</v>
      </c>
    </row>
    <row r="69" spans="1:4" ht="34.5" customHeight="1" x14ac:dyDescent="0.2">
      <c r="A69" s="4"/>
      <c r="B69" s="2" t="s">
        <v>221</v>
      </c>
      <c r="C69" s="4" t="s">
        <v>10</v>
      </c>
      <c r="D69" s="4">
        <v>8</v>
      </c>
    </row>
    <row r="70" spans="1:4" ht="34.5" customHeight="1" x14ac:dyDescent="0.2">
      <c r="A70" s="4"/>
      <c r="B70" s="2" t="s">
        <v>105</v>
      </c>
      <c r="C70" s="4" t="s">
        <v>103</v>
      </c>
      <c r="D70" s="4">
        <v>3</v>
      </c>
    </row>
    <row r="71" spans="1:4" ht="34.5" customHeight="1" x14ac:dyDescent="0.2">
      <c r="A71" s="4"/>
      <c r="B71" s="2" t="s">
        <v>104</v>
      </c>
      <c r="C71" s="4" t="s">
        <v>103</v>
      </c>
      <c r="D71" s="4">
        <v>3</v>
      </c>
    </row>
    <row r="72" spans="1:4" ht="34.5" customHeight="1" x14ac:dyDescent="0.2">
      <c r="A72" s="4"/>
      <c r="B72" s="2" t="s">
        <v>102</v>
      </c>
      <c r="C72" s="4" t="s">
        <v>98</v>
      </c>
      <c r="D72" s="4">
        <v>1</v>
      </c>
    </row>
    <row r="73" spans="1:4" ht="34.5" customHeight="1" x14ac:dyDescent="0.2">
      <c r="A73" s="4"/>
      <c r="B73" s="2" t="s">
        <v>220</v>
      </c>
      <c r="C73" s="4" t="s">
        <v>98</v>
      </c>
      <c r="D73" s="4">
        <v>1</v>
      </c>
    </row>
    <row r="74" spans="1:4" ht="34.5" customHeight="1" x14ac:dyDescent="0.2">
      <c r="A74" s="4"/>
      <c r="B74" s="2" t="s">
        <v>100</v>
      </c>
      <c r="C74" s="4" t="s">
        <v>98</v>
      </c>
      <c r="D74" s="4">
        <v>1</v>
      </c>
    </row>
    <row r="75" spans="1:4" ht="16" x14ac:dyDescent="0.2">
      <c r="A75" s="4">
        <v>8</v>
      </c>
      <c r="B75" s="2" t="s">
        <v>8</v>
      </c>
      <c r="C75" s="4" t="s">
        <v>3</v>
      </c>
      <c r="D75" s="4">
        <v>1</v>
      </c>
    </row>
    <row r="76" spans="1:4" ht="16" x14ac:dyDescent="0.2">
      <c r="A76" s="4"/>
      <c r="B76" s="2" t="s">
        <v>219</v>
      </c>
      <c r="C76" s="4" t="s">
        <v>10</v>
      </c>
      <c r="D76" s="4">
        <v>10</v>
      </c>
    </row>
    <row r="77" spans="1:4" ht="32" x14ac:dyDescent="0.2">
      <c r="A77" s="4"/>
      <c r="B77" s="2" t="s">
        <v>218</v>
      </c>
      <c r="C77" s="4" t="s">
        <v>217</v>
      </c>
      <c r="D77" s="4">
        <v>20</v>
      </c>
    </row>
    <row r="78" spans="1:4" ht="16" x14ac:dyDescent="0.2">
      <c r="A78" s="4"/>
      <c r="B78" s="2" t="s">
        <v>216</v>
      </c>
      <c r="C78" s="4" t="s">
        <v>115</v>
      </c>
      <c r="D78" s="4">
        <f>60*8</f>
        <v>480</v>
      </c>
    </row>
    <row r="79" spans="1:4" ht="16" x14ac:dyDescent="0.2">
      <c r="A79" s="4"/>
      <c r="B79" s="2" t="s">
        <v>215</v>
      </c>
      <c r="C79" s="4" t="s">
        <v>115</v>
      </c>
      <c r="D79" s="4">
        <f>2*60</f>
        <v>120</v>
      </c>
    </row>
    <row r="80" spans="1:4" ht="16" x14ac:dyDescent="0.2">
      <c r="A80" s="4"/>
      <c r="B80" s="2" t="s">
        <v>214</v>
      </c>
      <c r="C80" s="4" t="s">
        <v>115</v>
      </c>
      <c r="D80" s="4">
        <f>D78</f>
        <v>480</v>
      </c>
    </row>
    <row r="81" spans="1:4" ht="16" x14ac:dyDescent="0.2">
      <c r="A81" s="4"/>
      <c r="B81" s="2" t="s">
        <v>213</v>
      </c>
      <c r="C81" s="4" t="s">
        <v>10</v>
      </c>
      <c r="D81" s="4">
        <f>D76</f>
        <v>10</v>
      </c>
    </row>
    <row r="82" spans="1:4" ht="16" x14ac:dyDescent="0.2">
      <c r="A82" s="4"/>
      <c r="B82" s="2" t="s">
        <v>212</v>
      </c>
      <c r="C82" s="4" t="s">
        <v>10</v>
      </c>
      <c r="D82" s="4">
        <f>D76</f>
        <v>10</v>
      </c>
    </row>
    <row r="83" spans="1:4" ht="16" x14ac:dyDescent="0.2">
      <c r="A83" s="4"/>
      <c r="B83" s="2" t="s">
        <v>211</v>
      </c>
      <c r="C83" s="4" t="s">
        <v>98</v>
      </c>
      <c r="D83" s="4">
        <v>1</v>
      </c>
    </row>
    <row r="84" spans="1:4" ht="16" x14ac:dyDescent="0.2">
      <c r="A84" s="4"/>
      <c r="B84" s="2" t="s">
        <v>210</v>
      </c>
      <c r="C84" s="4" t="s">
        <v>98</v>
      </c>
      <c r="D84" s="4">
        <v>1</v>
      </c>
    </row>
    <row r="85" spans="1:4" ht="16" x14ac:dyDescent="0.2">
      <c r="A85" s="4"/>
      <c r="B85" s="2" t="s">
        <v>209</v>
      </c>
      <c r="C85" s="4" t="s">
        <v>98</v>
      </c>
      <c r="D85" s="4">
        <v>1</v>
      </c>
    </row>
    <row r="86" spans="1:4" ht="32" x14ac:dyDescent="0.2">
      <c r="A86" s="4"/>
      <c r="B86" s="2" t="s">
        <v>208</v>
      </c>
      <c r="C86" s="4" t="s">
        <v>98</v>
      </c>
      <c r="D86" s="4">
        <v>1</v>
      </c>
    </row>
    <row r="87" spans="1:4" ht="16" x14ac:dyDescent="0.2">
      <c r="A87" s="4">
        <v>9</v>
      </c>
      <c r="B87" s="2" t="s">
        <v>9</v>
      </c>
      <c r="C87" s="4" t="s">
        <v>3</v>
      </c>
      <c r="D87" s="4">
        <v>1</v>
      </c>
    </row>
    <row r="88" spans="1:4" ht="16" x14ac:dyDescent="0.2">
      <c r="A88" s="4"/>
      <c r="B88" s="2" t="s">
        <v>207</v>
      </c>
      <c r="C88" s="4" t="s">
        <v>93</v>
      </c>
      <c r="D88" s="4">
        <v>1</v>
      </c>
    </row>
    <row r="89" spans="1:4" ht="16" x14ac:dyDescent="0.2">
      <c r="A89" s="4"/>
      <c r="B89" s="2" t="s">
        <v>206</v>
      </c>
      <c r="C89" s="4" t="s">
        <v>93</v>
      </c>
      <c r="D89" s="4">
        <v>1</v>
      </c>
    </row>
    <row r="90" spans="1:4" ht="32" x14ac:dyDescent="0.2">
      <c r="A90" s="4"/>
      <c r="B90" s="2" t="s">
        <v>205</v>
      </c>
      <c r="C90" s="4" t="s">
        <v>142</v>
      </c>
      <c r="D90" s="4">
        <v>2</v>
      </c>
    </row>
    <row r="91" spans="1:4" ht="16" x14ac:dyDescent="0.2">
      <c r="A91" s="4"/>
      <c r="B91" s="2" t="s">
        <v>204</v>
      </c>
      <c r="C91" s="4" t="s">
        <v>142</v>
      </c>
      <c r="D91" s="4">
        <v>2</v>
      </c>
    </row>
    <row r="92" spans="1:4" ht="16" x14ac:dyDescent="0.2">
      <c r="A92" s="4"/>
      <c r="B92" s="2" t="s">
        <v>187</v>
      </c>
      <c r="C92" s="4" t="s">
        <v>98</v>
      </c>
      <c r="D92" s="4">
        <v>1</v>
      </c>
    </row>
    <row r="93" spans="1:4" ht="32" x14ac:dyDescent="0.2">
      <c r="A93" s="4">
        <v>10</v>
      </c>
      <c r="B93" s="2" t="s">
        <v>68</v>
      </c>
      <c r="C93" s="4" t="s">
        <v>3</v>
      </c>
      <c r="D93" s="4">
        <v>1</v>
      </c>
    </row>
    <row r="94" spans="1:4" ht="16" x14ac:dyDescent="0.2">
      <c r="A94" s="4"/>
      <c r="B94" s="2" t="s">
        <v>203</v>
      </c>
      <c r="C94" s="4" t="s">
        <v>93</v>
      </c>
      <c r="D94" s="4">
        <v>1</v>
      </c>
    </row>
    <row r="95" spans="1:4" ht="16" x14ac:dyDescent="0.2">
      <c r="A95" s="4"/>
      <c r="B95" s="2" t="s">
        <v>202</v>
      </c>
      <c r="C95" s="4" t="s">
        <v>93</v>
      </c>
      <c r="D95" s="4">
        <v>1</v>
      </c>
    </row>
    <row r="96" spans="1:4" ht="16" x14ac:dyDescent="0.2">
      <c r="A96" s="4"/>
      <c r="B96" s="2" t="s">
        <v>201</v>
      </c>
      <c r="C96" s="4" t="s">
        <v>93</v>
      </c>
      <c r="D96" s="4">
        <v>1</v>
      </c>
    </row>
    <row r="97" spans="1:4" ht="16" x14ac:dyDescent="0.2">
      <c r="A97" s="4"/>
      <c r="B97" s="2" t="s">
        <v>200</v>
      </c>
      <c r="C97" s="4" t="s">
        <v>93</v>
      </c>
      <c r="D97" s="4">
        <v>1</v>
      </c>
    </row>
    <row r="98" spans="1:4" ht="16" x14ac:dyDescent="0.2">
      <c r="A98" s="4"/>
      <c r="B98" s="2" t="s">
        <v>199</v>
      </c>
      <c r="C98" s="4" t="s">
        <v>93</v>
      </c>
      <c r="D98" s="4">
        <v>1</v>
      </c>
    </row>
    <row r="99" spans="1:4" ht="16" x14ac:dyDescent="0.2">
      <c r="A99" s="4"/>
      <c r="B99" s="2" t="s">
        <v>198</v>
      </c>
      <c r="C99" s="4" t="s">
        <v>93</v>
      </c>
      <c r="D99" s="4">
        <v>1</v>
      </c>
    </row>
    <row r="100" spans="1:4" ht="16" x14ac:dyDescent="0.2">
      <c r="A100" s="4"/>
      <c r="B100" s="2" t="s">
        <v>197</v>
      </c>
      <c r="C100" s="4" t="s">
        <v>93</v>
      </c>
      <c r="D100" s="4">
        <v>1</v>
      </c>
    </row>
    <row r="101" spans="1:4" ht="16" x14ac:dyDescent="0.2">
      <c r="A101" s="4"/>
      <c r="B101" s="2" t="s">
        <v>196</v>
      </c>
      <c r="C101" s="4" t="s">
        <v>93</v>
      </c>
      <c r="D101" s="4">
        <v>1</v>
      </c>
    </row>
    <row r="102" spans="1:4" ht="16" x14ac:dyDescent="0.2">
      <c r="A102" s="4"/>
      <c r="B102" s="2" t="s">
        <v>195</v>
      </c>
      <c r="C102" s="4" t="s">
        <v>93</v>
      </c>
      <c r="D102" s="4">
        <v>1</v>
      </c>
    </row>
    <row r="103" spans="1:4" ht="16" x14ac:dyDescent="0.2">
      <c r="A103" s="4"/>
      <c r="B103" s="2" t="s">
        <v>194</v>
      </c>
      <c r="C103" s="4" t="s">
        <v>93</v>
      </c>
      <c r="D103" s="4">
        <v>1</v>
      </c>
    </row>
    <row r="104" spans="1:4" ht="16" x14ac:dyDescent="0.2">
      <c r="A104" s="4"/>
      <c r="B104" s="2" t="s">
        <v>193</v>
      </c>
      <c r="C104" s="4" t="s">
        <v>93</v>
      </c>
      <c r="D104" s="4">
        <v>1</v>
      </c>
    </row>
    <row r="105" spans="1:4" ht="16" x14ac:dyDescent="0.2">
      <c r="A105" s="4"/>
      <c r="B105" s="2" t="s">
        <v>192</v>
      </c>
      <c r="C105" s="4" t="s">
        <v>93</v>
      </c>
      <c r="D105" s="4">
        <v>1</v>
      </c>
    </row>
    <row r="106" spans="1:4" ht="16" x14ac:dyDescent="0.2">
      <c r="A106" s="4"/>
      <c r="B106" s="2" t="s">
        <v>191</v>
      </c>
      <c r="C106" s="4" t="s">
        <v>93</v>
      </c>
      <c r="D106" s="4">
        <v>1</v>
      </c>
    </row>
    <row r="107" spans="1:4" ht="16" x14ac:dyDescent="0.2">
      <c r="A107" s="4"/>
      <c r="B107" s="2" t="s">
        <v>190</v>
      </c>
      <c r="C107" s="4" t="s">
        <v>93</v>
      </c>
      <c r="D107" s="4">
        <v>1</v>
      </c>
    </row>
    <row r="108" spans="1:4" ht="16" x14ac:dyDescent="0.2">
      <c r="A108" s="4"/>
      <c r="B108" s="2" t="s">
        <v>189</v>
      </c>
      <c r="C108" s="4" t="s">
        <v>93</v>
      </c>
      <c r="D108" s="4">
        <v>1</v>
      </c>
    </row>
    <row r="109" spans="1:4" ht="16" x14ac:dyDescent="0.2">
      <c r="A109" s="4"/>
      <c r="B109" s="2" t="s">
        <v>188</v>
      </c>
      <c r="C109" s="4" t="s">
        <v>93</v>
      </c>
      <c r="D109" s="4">
        <v>1</v>
      </c>
    </row>
    <row r="110" spans="1:4" ht="16" x14ac:dyDescent="0.2">
      <c r="A110" s="4"/>
      <c r="B110" s="2" t="s">
        <v>187</v>
      </c>
      <c r="C110" s="4" t="s">
        <v>93</v>
      </c>
      <c r="D110" s="4">
        <v>1</v>
      </c>
    </row>
    <row r="111" spans="1:4" ht="16" x14ac:dyDescent="0.2">
      <c r="A111" s="4">
        <v>11</v>
      </c>
      <c r="B111" s="2" t="s">
        <v>75</v>
      </c>
      <c r="C111" s="4" t="s">
        <v>10</v>
      </c>
      <c r="D111" s="4">
        <v>22</v>
      </c>
    </row>
    <row r="112" spans="1:4" ht="16" x14ac:dyDescent="0.2">
      <c r="A112" s="4"/>
      <c r="B112" s="2" t="s">
        <v>186</v>
      </c>
      <c r="C112" s="4" t="s">
        <v>10</v>
      </c>
      <c r="D112" s="4">
        <v>22</v>
      </c>
    </row>
    <row r="113" spans="1:4" ht="16" x14ac:dyDescent="0.2">
      <c r="A113" s="4"/>
      <c r="B113" s="2" t="s">
        <v>185</v>
      </c>
      <c r="C113" s="4" t="s">
        <v>10</v>
      </c>
      <c r="D113" s="4">
        <v>22</v>
      </c>
    </row>
    <row r="114" spans="1:4" ht="16" x14ac:dyDescent="0.2">
      <c r="A114" s="4"/>
      <c r="B114" s="2" t="s">
        <v>184</v>
      </c>
      <c r="C114" s="4" t="s">
        <v>98</v>
      </c>
      <c r="D114" s="4">
        <v>1</v>
      </c>
    </row>
    <row r="115" spans="1:4" ht="32" x14ac:dyDescent="0.2">
      <c r="A115" s="4">
        <v>12</v>
      </c>
      <c r="B115" s="2" t="s">
        <v>76</v>
      </c>
      <c r="C115" s="4" t="s">
        <v>10</v>
      </c>
      <c r="D115" s="4">
        <v>3</v>
      </c>
    </row>
    <row r="116" spans="1:4" ht="32" x14ac:dyDescent="0.2">
      <c r="A116" s="4"/>
      <c r="B116" s="2" t="s">
        <v>183</v>
      </c>
      <c r="C116" s="4" t="s">
        <v>10</v>
      </c>
      <c r="D116" s="4">
        <v>3</v>
      </c>
    </row>
    <row r="117" spans="1:4" ht="16" x14ac:dyDescent="0.2">
      <c r="A117" s="4"/>
      <c r="B117" s="2" t="s">
        <v>182</v>
      </c>
      <c r="C117" s="4" t="s">
        <v>93</v>
      </c>
      <c r="D117" s="4">
        <v>1</v>
      </c>
    </row>
    <row r="118" spans="1:4" ht="16" x14ac:dyDescent="0.2">
      <c r="A118" s="4"/>
      <c r="B118" s="2" t="s">
        <v>181</v>
      </c>
      <c r="C118" s="4" t="s">
        <v>93</v>
      </c>
      <c r="D118" s="4">
        <v>1</v>
      </c>
    </row>
    <row r="119" spans="1:4" ht="16" x14ac:dyDescent="0.2">
      <c r="A119" s="4"/>
      <c r="B119" s="2" t="s">
        <v>180</v>
      </c>
      <c r="C119" s="4" t="s">
        <v>93</v>
      </c>
      <c r="D119" s="4">
        <v>1</v>
      </c>
    </row>
    <row r="120" spans="1:4" ht="16" x14ac:dyDescent="0.2">
      <c r="A120" s="4"/>
      <c r="B120" s="2" t="s">
        <v>179</v>
      </c>
      <c r="C120" s="4" t="s">
        <v>93</v>
      </c>
      <c r="D120" s="4">
        <v>1</v>
      </c>
    </row>
    <row r="121" spans="1:4" ht="16" x14ac:dyDescent="0.2">
      <c r="A121" s="4"/>
      <c r="B121" s="2" t="s">
        <v>178</v>
      </c>
      <c r="C121" s="4" t="s">
        <v>115</v>
      </c>
      <c r="D121" s="4">
        <v>150</v>
      </c>
    </row>
    <row r="122" spans="1:4" ht="16" x14ac:dyDescent="0.2">
      <c r="A122" s="4"/>
      <c r="B122" s="2" t="s">
        <v>168</v>
      </c>
      <c r="C122" s="4" t="s">
        <v>115</v>
      </c>
      <c r="D122" s="4">
        <v>100</v>
      </c>
    </row>
    <row r="123" spans="1:4" ht="16" x14ac:dyDescent="0.2">
      <c r="A123" s="4"/>
      <c r="B123" s="2" t="s">
        <v>177</v>
      </c>
      <c r="C123" s="4" t="s">
        <v>93</v>
      </c>
      <c r="D123" s="4">
        <v>1</v>
      </c>
    </row>
    <row r="124" spans="1:4" ht="16" x14ac:dyDescent="0.2">
      <c r="A124" s="4"/>
      <c r="B124" s="2" t="s">
        <v>122</v>
      </c>
      <c r="C124" s="4" t="s">
        <v>103</v>
      </c>
      <c r="D124" s="4">
        <v>3</v>
      </c>
    </row>
    <row r="125" spans="1:4" ht="16" x14ac:dyDescent="0.2">
      <c r="A125" s="4"/>
      <c r="B125" s="2" t="s">
        <v>104</v>
      </c>
      <c r="C125" s="4" t="s">
        <v>176</v>
      </c>
      <c r="D125" s="4">
        <v>3</v>
      </c>
    </row>
    <row r="126" spans="1:4" ht="16" x14ac:dyDescent="0.2">
      <c r="A126" s="4"/>
      <c r="B126" s="2" t="s">
        <v>102</v>
      </c>
      <c r="C126" s="4" t="s">
        <v>98</v>
      </c>
      <c r="D126" s="4">
        <v>1</v>
      </c>
    </row>
    <row r="127" spans="1:4" ht="16" x14ac:dyDescent="0.2">
      <c r="A127" s="4"/>
      <c r="B127" s="2" t="s">
        <v>175</v>
      </c>
      <c r="C127" s="4" t="s">
        <v>98</v>
      </c>
      <c r="D127" s="4">
        <v>1</v>
      </c>
    </row>
    <row r="128" spans="1:4" ht="16" x14ac:dyDescent="0.2">
      <c r="A128" s="4"/>
      <c r="B128" s="2" t="s">
        <v>100</v>
      </c>
      <c r="C128" s="4" t="s">
        <v>98</v>
      </c>
      <c r="D128" s="4">
        <v>1</v>
      </c>
    </row>
    <row r="129" spans="1:4" ht="32" x14ac:dyDescent="0.2">
      <c r="A129" s="4"/>
      <c r="B129" s="2" t="s">
        <v>174</v>
      </c>
      <c r="C129" s="4" t="s">
        <v>98</v>
      </c>
      <c r="D129" s="4">
        <v>1</v>
      </c>
    </row>
    <row r="130" spans="1:4" ht="48" x14ac:dyDescent="0.2">
      <c r="A130" s="4">
        <v>13</v>
      </c>
      <c r="B130" s="2" t="s">
        <v>270</v>
      </c>
      <c r="C130" s="4" t="s">
        <v>3</v>
      </c>
      <c r="D130" s="4">
        <v>1</v>
      </c>
    </row>
    <row r="131" spans="1:4" ht="16" x14ac:dyDescent="0.2">
      <c r="A131" s="4"/>
      <c r="B131" s="2" t="s">
        <v>173</v>
      </c>
      <c r="C131" s="4" t="s">
        <v>10</v>
      </c>
      <c r="D131" s="4">
        <v>10</v>
      </c>
    </row>
    <row r="132" spans="1:4" ht="16" x14ac:dyDescent="0.2">
      <c r="A132" s="4"/>
      <c r="B132" s="2" t="s">
        <v>172</v>
      </c>
      <c r="C132" s="4" t="s">
        <v>93</v>
      </c>
      <c r="D132" s="4">
        <v>1</v>
      </c>
    </row>
    <row r="133" spans="1:4" ht="16" x14ac:dyDescent="0.2">
      <c r="A133" s="4"/>
      <c r="B133" s="2" t="s">
        <v>171</v>
      </c>
      <c r="C133" s="4" t="s">
        <v>93</v>
      </c>
      <c r="D133" s="4">
        <v>1</v>
      </c>
    </row>
    <row r="134" spans="1:4" ht="16" x14ac:dyDescent="0.2">
      <c r="A134" s="4"/>
      <c r="B134" s="2" t="s">
        <v>170</v>
      </c>
      <c r="C134" s="4" t="s">
        <v>93</v>
      </c>
      <c r="D134" s="4">
        <v>1</v>
      </c>
    </row>
    <row r="135" spans="1:4" ht="16" x14ac:dyDescent="0.2">
      <c r="A135" s="4"/>
      <c r="B135" s="2" t="s">
        <v>169</v>
      </c>
      <c r="C135" s="4" t="s">
        <v>10</v>
      </c>
      <c r="D135" s="4">
        <f>D131</f>
        <v>10</v>
      </c>
    </row>
    <row r="136" spans="1:4" ht="16" x14ac:dyDescent="0.2">
      <c r="A136" s="4"/>
      <c r="B136" s="2" t="s">
        <v>168</v>
      </c>
      <c r="C136" s="4" t="s">
        <v>115</v>
      </c>
      <c r="D136" s="4">
        <f>D135*20</f>
        <v>200</v>
      </c>
    </row>
    <row r="137" spans="1:4" ht="16" x14ac:dyDescent="0.2">
      <c r="A137" s="4"/>
      <c r="B137" s="2" t="s">
        <v>105</v>
      </c>
      <c r="C137" s="4" t="s">
        <v>103</v>
      </c>
      <c r="D137" s="4">
        <v>3</v>
      </c>
    </row>
    <row r="138" spans="1:4" ht="16" x14ac:dyDescent="0.2">
      <c r="A138" s="4"/>
      <c r="B138" s="2" t="s">
        <v>104</v>
      </c>
      <c r="C138" s="4" t="s">
        <v>103</v>
      </c>
      <c r="D138" s="4">
        <v>3</v>
      </c>
    </row>
    <row r="139" spans="1:4" ht="16" x14ac:dyDescent="0.2">
      <c r="A139" s="4"/>
      <c r="B139" s="2" t="s">
        <v>102</v>
      </c>
      <c r="C139" s="4" t="s">
        <v>98</v>
      </c>
      <c r="D139" s="4">
        <v>1</v>
      </c>
    </row>
    <row r="140" spans="1:4" ht="16" x14ac:dyDescent="0.2">
      <c r="A140" s="4"/>
      <c r="B140" s="2" t="s">
        <v>167</v>
      </c>
      <c r="C140" s="4" t="s">
        <v>98</v>
      </c>
      <c r="D140" s="4">
        <v>1</v>
      </c>
    </row>
    <row r="141" spans="1:4" ht="16" x14ac:dyDescent="0.2">
      <c r="A141" s="4"/>
      <c r="B141" s="2" t="s">
        <v>100</v>
      </c>
      <c r="C141" s="4" t="s">
        <v>98</v>
      </c>
      <c r="D141" s="4">
        <v>1</v>
      </c>
    </row>
    <row r="142" spans="1:4" ht="32" x14ac:dyDescent="0.2">
      <c r="A142" s="4"/>
      <c r="B142" s="2" t="s">
        <v>166</v>
      </c>
      <c r="C142" s="4" t="s">
        <v>98</v>
      </c>
      <c r="D142" s="4">
        <v>1</v>
      </c>
    </row>
    <row r="143" spans="1:4" ht="48" x14ac:dyDescent="0.2">
      <c r="A143" s="4">
        <v>14</v>
      </c>
      <c r="B143" s="2" t="s">
        <v>17</v>
      </c>
      <c r="C143" s="4" t="s">
        <v>10</v>
      </c>
      <c r="D143" s="4">
        <v>5</v>
      </c>
    </row>
    <row r="144" spans="1:4" ht="32" x14ac:dyDescent="0.2">
      <c r="A144" s="4">
        <v>15</v>
      </c>
      <c r="B144" s="2" t="s">
        <v>84</v>
      </c>
      <c r="C144" s="4" t="s">
        <v>3</v>
      </c>
      <c r="D144" s="4">
        <v>1</v>
      </c>
    </row>
    <row r="145" spans="1:4" ht="16" x14ac:dyDescent="0.2">
      <c r="A145" s="4"/>
      <c r="B145" s="2" t="s">
        <v>165</v>
      </c>
      <c r="C145" s="4" t="s">
        <v>5</v>
      </c>
      <c r="D145" s="4">
        <v>1</v>
      </c>
    </row>
    <row r="146" spans="1:4" ht="16" x14ac:dyDescent="0.2">
      <c r="A146" s="4"/>
      <c r="B146" s="2" t="s">
        <v>164</v>
      </c>
      <c r="C146" s="4" t="s">
        <v>10</v>
      </c>
      <c r="D146" s="4">
        <v>10</v>
      </c>
    </row>
    <row r="147" spans="1:4" ht="16" x14ac:dyDescent="0.2">
      <c r="A147" s="4"/>
      <c r="B147" s="2" t="s">
        <v>163</v>
      </c>
      <c r="C147" s="4" t="s">
        <v>10</v>
      </c>
      <c r="D147" s="4">
        <v>4</v>
      </c>
    </row>
    <row r="148" spans="1:4" ht="16" x14ac:dyDescent="0.2">
      <c r="A148" s="4"/>
      <c r="B148" s="2" t="s">
        <v>162</v>
      </c>
      <c r="C148" s="4" t="s">
        <v>10</v>
      </c>
      <c r="D148" s="4">
        <v>4</v>
      </c>
    </row>
    <row r="149" spans="1:4" ht="16" x14ac:dyDescent="0.2">
      <c r="A149" s="4"/>
      <c r="B149" s="2" t="s">
        <v>161</v>
      </c>
      <c r="C149" s="4" t="s">
        <v>10</v>
      </c>
      <c r="D149" s="4">
        <v>12</v>
      </c>
    </row>
    <row r="150" spans="1:4" ht="16" x14ac:dyDescent="0.2">
      <c r="A150" s="4"/>
      <c r="B150" s="2" t="s">
        <v>160</v>
      </c>
      <c r="C150" s="4" t="s">
        <v>10</v>
      </c>
      <c r="D150" s="4">
        <v>4</v>
      </c>
    </row>
    <row r="151" spans="1:4" ht="16" x14ac:dyDescent="0.2">
      <c r="A151" s="4"/>
      <c r="B151" s="2" t="s">
        <v>159</v>
      </c>
      <c r="C151" s="4" t="s">
        <v>10</v>
      </c>
      <c r="D151" s="4">
        <f>D146/2</f>
        <v>5</v>
      </c>
    </row>
    <row r="152" spans="1:4" ht="16" x14ac:dyDescent="0.2">
      <c r="A152" s="4"/>
      <c r="B152" s="2" t="s">
        <v>107</v>
      </c>
      <c r="C152" s="4" t="s">
        <v>115</v>
      </c>
      <c r="D152" s="4">
        <f>(D146+D147+D148+D149+D150+D151)*10</f>
        <v>390</v>
      </c>
    </row>
    <row r="153" spans="1:4" ht="16" x14ac:dyDescent="0.2">
      <c r="A153" s="4"/>
      <c r="B153" s="2" t="s">
        <v>158</v>
      </c>
      <c r="C153" s="4" t="s">
        <v>5</v>
      </c>
      <c r="D153" s="4" t="s">
        <v>157</v>
      </c>
    </row>
    <row r="154" spans="1:4" ht="16" x14ac:dyDescent="0.2">
      <c r="A154" s="4"/>
      <c r="B154" s="2" t="s">
        <v>156</v>
      </c>
      <c r="C154" s="4" t="s">
        <v>115</v>
      </c>
      <c r="D154" s="4">
        <v>40</v>
      </c>
    </row>
    <row r="155" spans="1:4" ht="16" x14ac:dyDescent="0.2">
      <c r="A155" s="4"/>
      <c r="B155" s="2" t="s">
        <v>155</v>
      </c>
      <c r="C155" s="4" t="s">
        <v>10</v>
      </c>
      <c r="D155" s="4">
        <v>4</v>
      </c>
    </row>
    <row r="156" spans="1:4" ht="16" x14ac:dyDescent="0.2">
      <c r="A156" s="4"/>
      <c r="B156" s="2" t="s">
        <v>154</v>
      </c>
      <c r="C156" s="4" t="s">
        <v>103</v>
      </c>
      <c r="D156" s="4">
        <v>3</v>
      </c>
    </row>
    <row r="157" spans="1:4" ht="16" x14ac:dyDescent="0.2">
      <c r="A157" s="4"/>
      <c r="B157" s="2" t="s">
        <v>121</v>
      </c>
      <c r="C157" s="4" t="s">
        <v>103</v>
      </c>
      <c r="D157" s="4">
        <v>3</v>
      </c>
    </row>
    <row r="158" spans="1:4" ht="16" x14ac:dyDescent="0.2">
      <c r="A158" s="4"/>
      <c r="B158" s="2" t="s">
        <v>102</v>
      </c>
      <c r="C158" s="4" t="s">
        <v>98</v>
      </c>
      <c r="D158" s="4">
        <v>1</v>
      </c>
    </row>
    <row r="159" spans="1:4" ht="16" x14ac:dyDescent="0.2">
      <c r="A159" s="4"/>
      <c r="B159" s="2" t="s">
        <v>101</v>
      </c>
      <c r="C159" s="4" t="s">
        <v>98</v>
      </c>
      <c r="D159" s="4">
        <v>1</v>
      </c>
    </row>
    <row r="160" spans="1:4" ht="16" x14ac:dyDescent="0.2">
      <c r="A160" s="4"/>
      <c r="B160" s="2" t="s">
        <v>100</v>
      </c>
      <c r="C160" s="4" t="s">
        <v>98</v>
      </c>
      <c r="D160" s="4">
        <v>1</v>
      </c>
    </row>
    <row r="161" spans="1:4" ht="32" x14ac:dyDescent="0.2">
      <c r="A161" s="4"/>
      <c r="B161" s="2" t="s">
        <v>153</v>
      </c>
      <c r="C161" s="4" t="s">
        <v>98</v>
      </c>
      <c r="D161" s="4">
        <v>1</v>
      </c>
    </row>
    <row r="162" spans="1:4" ht="32" x14ac:dyDescent="0.2">
      <c r="A162" s="4">
        <v>16</v>
      </c>
      <c r="B162" s="2" t="s">
        <v>11</v>
      </c>
      <c r="C162" s="4" t="s">
        <v>3</v>
      </c>
      <c r="D162" s="4">
        <v>1</v>
      </c>
    </row>
    <row r="163" spans="1:4" ht="16" x14ac:dyDescent="0.2">
      <c r="A163" s="4"/>
      <c r="B163" s="2" t="s">
        <v>152</v>
      </c>
      <c r="C163" s="4" t="s">
        <v>10</v>
      </c>
      <c r="D163" s="4">
        <v>10</v>
      </c>
    </row>
    <row r="164" spans="1:4" ht="16" x14ac:dyDescent="0.2">
      <c r="A164" s="4"/>
      <c r="B164" s="2" t="s">
        <v>151</v>
      </c>
      <c r="C164" s="4" t="s">
        <v>10</v>
      </c>
      <c r="D164" s="4">
        <f>D163</f>
        <v>10</v>
      </c>
    </row>
    <row r="165" spans="1:4" ht="16" x14ac:dyDescent="0.2">
      <c r="A165" s="4"/>
      <c r="B165" s="2" t="s">
        <v>150</v>
      </c>
      <c r="C165" s="4" t="s">
        <v>10</v>
      </c>
      <c r="D165" s="4">
        <f>D164</f>
        <v>10</v>
      </c>
    </row>
    <row r="166" spans="1:4" ht="16" x14ac:dyDescent="0.2">
      <c r="A166" s="4"/>
      <c r="B166" s="2" t="s">
        <v>149</v>
      </c>
      <c r="C166" s="4" t="s">
        <v>93</v>
      </c>
      <c r="D166" s="4">
        <v>1</v>
      </c>
    </row>
    <row r="167" spans="1:4" ht="32" x14ac:dyDescent="0.2">
      <c r="A167" s="4">
        <v>17</v>
      </c>
      <c r="B167" s="2" t="s">
        <v>77</v>
      </c>
      <c r="C167" s="4" t="s">
        <v>3</v>
      </c>
      <c r="D167" s="4">
        <v>1</v>
      </c>
    </row>
    <row r="168" spans="1:4" ht="16" x14ac:dyDescent="0.2">
      <c r="A168" s="4"/>
      <c r="B168" s="2" t="s">
        <v>148</v>
      </c>
      <c r="C168" s="4" t="s">
        <v>147</v>
      </c>
      <c r="D168" s="4">
        <v>132</v>
      </c>
    </row>
    <row r="169" spans="1:4" ht="16" x14ac:dyDescent="0.2">
      <c r="A169" s="4"/>
      <c r="B169" s="2" t="s">
        <v>146</v>
      </c>
      <c r="C169" s="4" t="s">
        <v>10</v>
      </c>
      <c r="D169" s="4">
        <v>2</v>
      </c>
    </row>
    <row r="170" spans="1:4" ht="16" x14ac:dyDescent="0.2">
      <c r="A170" s="4"/>
      <c r="B170" s="2" t="s">
        <v>145</v>
      </c>
      <c r="C170" s="4" t="s">
        <v>10</v>
      </c>
      <c r="D170" s="4">
        <v>6</v>
      </c>
    </row>
    <row r="171" spans="1:4" ht="16" x14ac:dyDescent="0.2">
      <c r="A171" s="4"/>
      <c r="B171" s="2" t="s">
        <v>144</v>
      </c>
      <c r="C171" s="4" t="s">
        <v>93</v>
      </c>
      <c r="D171" s="4">
        <v>1</v>
      </c>
    </row>
    <row r="172" spans="1:4" ht="16" x14ac:dyDescent="0.2">
      <c r="A172" s="4"/>
      <c r="B172" s="2" t="s">
        <v>143</v>
      </c>
      <c r="C172" s="4" t="s">
        <v>142</v>
      </c>
      <c r="D172" s="4">
        <v>1</v>
      </c>
    </row>
    <row r="173" spans="1:4" ht="16" x14ac:dyDescent="0.2">
      <c r="A173" s="4"/>
      <c r="B173" s="2" t="s">
        <v>141</v>
      </c>
      <c r="C173" s="4" t="s">
        <v>5</v>
      </c>
      <c r="D173" s="4">
        <v>1</v>
      </c>
    </row>
    <row r="174" spans="1:4" ht="16" x14ac:dyDescent="0.2">
      <c r="A174" s="4"/>
      <c r="B174" s="2" t="s">
        <v>140</v>
      </c>
      <c r="C174" s="4" t="s">
        <v>5</v>
      </c>
      <c r="D174" s="4">
        <v>1</v>
      </c>
    </row>
    <row r="175" spans="1:4" ht="16" x14ac:dyDescent="0.2">
      <c r="A175" s="4"/>
      <c r="B175" s="2" t="s">
        <v>139</v>
      </c>
      <c r="C175" s="4" t="s">
        <v>5</v>
      </c>
      <c r="D175" s="4">
        <v>1</v>
      </c>
    </row>
    <row r="176" spans="1:4" ht="16" x14ac:dyDescent="0.2">
      <c r="A176" s="4"/>
      <c r="B176" s="2" t="s">
        <v>138</v>
      </c>
      <c r="C176" s="4" t="s">
        <v>5</v>
      </c>
      <c r="D176" s="4">
        <v>1</v>
      </c>
    </row>
    <row r="177" spans="1:4" ht="16" x14ac:dyDescent="0.2">
      <c r="A177" s="4"/>
      <c r="B177" s="2" t="s">
        <v>117</v>
      </c>
      <c r="C177" s="4" t="s">
        <v>115</v>
      </c>
      <c r="D177" s="4">
        <v>200</v>
      </c>
    </row>
    <row r="178" spans="1:4" ht="32" x14ac:dyDescent="0.2">
      <c r="A178" s="4"/>
      <c r="B178" s="2" t="s">
        <v>137</v>
      </c>
      <c r="C178" s="4" t="s">
        <v>98</v>
      </c>
      <c r="D178" s="4">
        <v>1</v>
      </c>
    </row>
    <row r="179" spans="1:4" ht="16" x14ac:dyDescent="0.2">
      <c r="A179" s="4"/>
      <c r="B179" s="2" t="s">
        <v>105</v>
      </c>
      <c r="C179" s="4" t="s">
        <v>103</v>
      </c>
      <c r="D179" s="4">
        <v>3</v>
      </c>
    </row>
    <row r="180" spans="1:4" ht="16" x14ac:dyDescent="0.2">
      <c r="A180" s="4"/>
      <c r="B180" s="2" t="s">
        <v>104</v>
      </c>
      <c r="C180" s="4" t="s">
        <v>103</v>
      </c>
      <c r="D180" s="4">
        <v>3</v>
      </c>
    </row>
    <row r="181" spans="1:4" ht="16" x14ac:dyDescent="0.2">
      <c r="A181" s="4"/>
      <c r="B181" s="2" t="s">
        <v>102</v>
      </c>
      <c r="C181" s="4" t="s">
        <v>98</v>
      </c>
      <c r="D181" s="4">
        <v>1</v>
      </c>
    </row>
    <row r="182" spans="1:4" ht="16" x14ac:dyDescent="0.2">
      <c r="A182" s="4"/>
      <c r="B182" s="2" t="s">
        <v>101</v>
      </c>
      <c r="C182" s="4" t="s">
        <v>98</v>
      </c>
      <c r="D182" s="4">
        <v>1</v>
      </c>
    </row>
    <row r="183" spans="1:4" ht="16" x14ac:dyDescent="0.2">
      <c r="A183" s="4"/>
      <c r="B183" s="2" t="s">
        <v>100</v>
      </c>
      <c r="C183" s="4" t="s">
        <v>98</v>
      </c>
      <c r="D183" s="4">
        <v>1</v>
      </c>
    </row>
    <row r="184" spans="1:4" ht="32" x14ac:dyDescent="0.2">
      <c r="A184" s="4"/>
      <c r="B184" s="2" t="s">
        <v>136</v>
      </c>
      <c r="C184" s="4" t="s">
        <v>98</v>
      </c>
      <c r="D184" s="4">
        <v>1</v>
      </c>
    </row>
    <row r="185" spans="1:4" ht="32" x14ac:dyDescent="0.2">
      <c r="A185" s="4">
        <v>18</v>
      </c>
      <c r="B185" s="2" t="s">
        <v>12</v>
      </c>
      <c r="C185" s="4" t="s">
        <v>3</v>
      </c>
      <c r="D185" s="4">
        <v>1</v>
      </c>
    </row>
    <row r="186" spans="1:4" ht="16" x14ac:dyDescent="0.2">
      <c r="A186" s="4"/>
      <c r="B186" s="2" t="s">
        <v>135</v>
      </c>
      <c r="C186" s="4" t="s">
        <v>10</v>
      </c>
      <c r="D186" s="4">
        <v>14</v>
      </c>
    </row>
    <row r="187" spans="1:4" ht="16" x14ac:dyDescent="0.2">
      <c r="A187" s="4"/>
      <c r="B187" s="2" t="s">
        <v>134</v>
      </c>
      <c r="C187" s="4" t="s">
        <v>10</v>
      </c>
      <c r="D187" s="4">
        <v>1</v>
      </c>
    </row>
    <row r="188" spans="1:4" ht="16" x14ac:dyDescent="0.2">
      <c r="A188" s="4"/>
      <c r="B188" s="2" t="s">
        <v>133</v>
      </c>
      <c r="C188" s="4" t="s">
        <v>10</v>
      </c>
      <c r="D188" s="4">
        <v>1</v>
      </c>
    </row>
    <row r="189" spans="1:4" ht="16" x14ac:dyDescent="0.2">
      <c r="A189" s="4"/>
      <c r="B189" s="2" t="s">
        <v>132</v>
      </c>
      <c r="C189" s="4" t="s">
        <v>115</v>
      </c>
      <c r="D189" s="4">
        <f>D186*40</f>
        <v>560</v>
      </c>
    </row>
    <row r="190" spans="1:4" ht="16" x14ac:dyDescent="0.2">
      <c r="A190" s="4"/>
      <c r="B190" s="2" t="s">
        <v>131</v>
      </c>
      <c r="C190" s="4" t="s">
        <v>115</v>
      </c>
      <c r="D190" s="4">
        <f>D189/2</f>
        <v>280</v>
      </c>
    </row>
    <row r="191" spans="1:4" ht="16" x14ac:dyDescent="0.2">
      <c r="A191" s="4"/>
      <c r="B191" s="2" t="s">
        <v>105</v>
      </c>
      <c r="C191" s="4" t="s">
        <v>103</v>
      </c>
      <c r="D191" s="4">
        <v>3</v>
      </c>
    </row>
    <row r="192" spans="1:4" ht="16" x14ac:dyDescent="0.2">
      <c r="A192" s="4"/>
      <c r="B192" s="2" t="s">
        <v>104</v>
      </c>
      <c r="C192" s="4" t="s">
        <v>103</v>
      </c>
      <c r="D192" s="4">
        <v>3</v>
      </c>
    </row>
    <row r="193" spans="1:4" ht="16" x14ac:dyDescent="0.2">
      <c r="A193" s="4"/>
      <c r="B193" s="2" t="s">
        <v>102</v>
      </c>
      <c r="C193" s="4" t="s">
        <v>98</v>
      </c>
      <c r="D193" s="4">
        <v>1</v>
      </c>
    </row>
    <row r="194" spans="1:4" ht="16" x14ac:dyDescent="0.2">
      <c r="A194" s="4"/>
      <c r="B194" s="2" t="s">
        <v>101</v>
      </c>
      <c r="C194" s="4" t="s">
        <v>98</v>
      </c>
      <c r="D194" s="4">
        <v>1</v>
      </c>
    </row>
    <row r="195" spans="1:4" ht="16" x14ac:dyDescent="0.2">
      <c r="A195" s="4"/>
      <c r="B195" s="2" t="s">
        <v>100</v>
      </c>
      <c r="C195" s="4" t="s">
        <v>98</v>
      </c>
      <c r="D195" s="4">
        <v>1</v>
      </c>
    </row>
    <row r="196" spans="1:4" ht="32" x14ac:dyDescent="0.2">
      <c r="A196" s="4"/>
      <c r="B196" s="2" t="s">
        <v>130</v>
      </c>
      <c r="C196" s="4" t="s">
        <v>98</v>
      </c>
      <c r="D196" s="4">
        <v>1</v>
      </c>
    </row>
    <row r="197" spans="1:4" ht="32" x14ac:dyDescent="0.2">
      <c r="A197" s="4">
        <v>19</v>
      </c>
      <c r="B197" s="2" t="s">
        <v>13</v>
      </c>
      <c r="C197" s="4" t="s">
        <v>3</v>
      </c>
      <c r="D197" s="4">
        <v>1</v>
      </c>
    </row>
    <row r="198" spans="1:4" ht="16" x14ac:dyDescent="0.2">
      <c r="A198" s="4"/>
      <c r="B198" s="2" t="s">
        <v>129</v>
      </c>
      <c r="C198" s="4" t="s">
        <v>10</v>
      </c>
      <c r="D198" s="4">
        <v>3</v>
      </c>
    </row>
    <row r="199" spans="1:4" ht="16" x14ac:dyDescent="0.2">
      <c r="A199" s="4"/>
      <c r="B199" s="2" t="s">
        <v>128</v>
      </c>
      <c r="C199" s="4" t="s">
        <v>5</v>
      </c>
      <c r="D199" s="4">
        <v>1</v>
      </c>
    </row>
    <row r="200" spans="1:4" ht="16" x14ac:dyDescent="0.2">
      <c r="A200" s="4"/>
      <c r="B200" s="2" t="s">
        <v>127</v>
      </c>
      <c r="C200" s="4" t="s">
        <v>10</v>
      </c>
      <c r="D200" s="4">
        <v>6</v>
      </c>
    </row>
    <row r="201" spans="1:4" ht="16" x14ac:dyDescent="0.2">
      <c r="A201" s="4"/>
      <c r="B201" s="2" t="s">
        <v>126</v>
      </c>
      <c r="C201" s="4" t="s">
        <v>10</v>
      </c>
      <c r="D201" s="4">
        <v>5</v>
      </c>
    </row>
    <row r="202" spans="1:4" ht="16" x14ac:dyDescent="0.2">
      <c r="A202" s="4"/>
      <c r="B202" s="2" t="s">
        <v>125</v>
      </c>
      <c r="C202" s="4" t="s">
        <v>10</v>
      </c>
      <c r="D202" s="4">
        <v>6</v>
      </c>
    </row>
    <row r="203" spans="1:4" ht="16" x14ac:dyDescent="0.2">
      <c r="A203" s="4"/>
      <c r="B203" s="2" t="s">
        <v>124</v>
      </c>
      <c r="C203" s="4" t="s">
        <v>10</v>
      </c>
      <c r="D203" s="4">
        <v>6</v>
      </c>
    </row>
    <row r="204" spans="1:4" ht="16" x14ac:dyDescent="0.2">
      <c r="A204" s="4"/>
      <c r="B204" s="2" t="s">
        <v>123</v>
      </c>
      <c r="C204" s="4" t="s">
        <v>115</v>
      </c>
      <c r="D204" s="4">
        <f>D198*80</f>
        <v>240</v>
      </c>
    </row>
    <row r="205" spans="1:4" ht="16" x14ac:dyDescent="0.2">
      <c r="A205" s="4"/>
      <c r="B205" s="2" t="s">
        <v>122</v>
      </c>
      <c r="C205" s="4" t="s">
        <v>103</v>
      </c>
      <c r="D205" s="4">
        <v>3</v>
      </c>
    </row>
    <row r="206" spans="1:4" ht="16" x14ac:dyDescent="0.2">
      <c r="A206" s="4"/>
      <c r="B206" s="2" t="s">
        <v>121</v>
      </c>
      <c r="C206" s="4" t="s">
        <v>103</v>
      </c>
      <c r="D206" s="4">
        <v>3</v>
      </c>
    </row>
    <row r="207" spans="1:4" ht="16" x14ac:dyDescent="0.2">
      <c r="A207" s="4"/>
      <c r="B207" s="2" t="s">
        <v>102</v>
      </c>
      <c r="C207" s="4" t="s">
        <v>98</v>
      </c>
      <c r="D207" s="4">
        <v>1</v>
      </c>
    </row>
    <row r="208" spans="1:4" ht="16" x14ac:dyDescent="0.2">
      <c r="A208" s="4"/>
      <c r="B208" s="2" t="s">
        <v>101</v>
      </c>
      <c r="C208" s="4" t="s">
        <v>98</v>
      </c>
      <c r="D208" s="4">
        <v>1</v>
      </c>
    </row>
    <row r="209" spans="1:4" ht="16" x14ac:dyDescent="0.2">
      <c r="A209" s="4"/>
      <c r="B209" s="2" t="s">
        <v>100</v>
      </c>
      <c r="C209" s="4" t="s">
        <v>98</v>
      </c>
      <c r="D209" s="4">
        <v>1</v>
      </c>
    </row>
    <row r="210" spans="1:4" ht="32" x14ac:dyDescent="0.2">
      <c r="A210" s="4"/>
      <c r="B210" s="2" t="s">
        <v>120</v>
      </c>
      <c r="C210" s="4" t="s">
        <v>98</v>
      </c>
      <c r="D210" s="4">
        <v>1</v>
      </c>
    </row>
    <row r="211" spans="1:4" ht="32" x14ac:dyDescent="0.2">
      <c r="A211" s="4">
        <v>20</v>
      </c>
      <c r="B211" s="2" t="s">
        <v>14</v>
      </c>
      <c r="C211" s="4" t="s">
        <v>3</v>
      </c>
      <c r="D211" s="4">
        <v>1</v>
      </c>
    </row>
    <row r="212" spans="1:4" ht="16" x14ac:dyDescent="0.2">
      <c r="A212" s="4"/>
      <c r="B212" s="2" t="s">
        <v>119</v>
      </c>
      <c r="C212" s="4" t="s">
        <v>10</v>
      </c>
      <c r="D212" s="4">
        <v>1</v>
      </c>
    </row>
    <row r="213" spans="1:4" ht="16" x14ac:dyDescent="0.2">
      <c r="A213" s="4"/>
      <c r="B213" s="2" t="s">
        <v>118</v>
      </c>
      <c r="C213" s="4" t="s">
        <v>10</v>
      </c>
      <c r="D213" s="4">
        <v>15</v>
      </c>
    </row>
    <row r="214" spans="1:4" ht="16" x14ac:dyDescent="0.2">
      <c r="A214" s="4"/>
      <c r="B214" s="2" t="s">
        <v>117</v>
      </c>
      <c r="C214" s="4" t="s">
        <v>115</v>
      </c>
      <c r="D214" s="4">
        <v>150</v>
      </c>
    </row>
    <row r="215" spans="1:4" ht="16" x14ac:dyDescent="0.2">
      <c r="A215" s="4"/>
      <c r="B215" s="2" t="s">
        <v>116</v>
      </c>
      <c r="C215" s="4" t="s">
        <v>115</v>
      </c>
      <c r="D215" s="4">
        <v>150</v>
      </c>
    </row>
    <row r="216" spans="1:4" ht="16" x14ac:dyDescent="0.2">
      <c r="A216" s="4"/>
      <c r="B216" s="2" t="s">
        <v>105</v>
      </c>
      <c r="C216" s="4" t="s">
        <v>103</v>
      </c>
      <c r="D216" s="4">
        <v>3</v>
      </c>
    </row>
    <row r="217" spans="1:4" ht="16" x14ac:dyDescent="0.2">
      <c r="A217" s="4"/>
      <c r="B217" s="2" t="s">
        <v>102</v>
      </c>
      <c r="C217" s="4" t="s">
        <v>98</v>
      </c>
      <c r="D217" s="4">
        <v>1</v>
      </c>
    </row>
    <row r="218" spans="1:4" ht="16" x14ac:dyDescent="0.2">
      <c r="A218" s="4"/>
      <c r="B218" s="2" t="s">
        <v>101</v>
      </c>
      <c r="C218" s="4" t="s">
        <v>98</v>
      </c>
      <c r="D218" s="4">
        <v>1</v>
      </c>
    </row>
    <row r="219" spans="1:4" ht="16" x14ac:dyDescent="0.2">
      <c r="A219" s="4"/>
      <c r="B219" s="2" t="s">
        <v>100</v>
      </c>
      <c r="C219" s="4" t="s">
        <v>98</v>
      </c>
      <c r="D219" s="4">
        <v>1</v>
      </c>
    </row>
    <row r="220" spans="1:4" ht="32" x14ac:dyDescent="0.2">
      <c r="A220" s="4"/>
      <c r="B220" s="2" t="s">
        <v>114</v>
      </c>
      <c r="C220" s="4" t="s">
        <v>98</v>
      </c>
      <c r="D220" s="4">
        <v>1</v>
      </c>
    </row>
    <row r="221" spans="1:4" ht="32" x14ac:dyDescent="0.2">
      <c r="A221" s="4">
        <v>21</v>
      </c>
      <c r="B221" s="2" t="s">
        <v>15</v>
      </c>
      <c r="C221" s="4" t="s">
        <v>3</v>
      </c>
      <c r="D221" s="4">
        <v>1</v>
      </c>
    </row>
    <row r="222" spans="1:4" ht="16" x14ac:dyDescent="0.2">
      <c r="A222" s="4"/>
      <c r="B222" s="2" t="s">
        <v>113</v>
      </c>
      <c r="C222" s="4" t="s">
        <v>5</v>
      </c>
      <c r="D222" s="4">
        <v>1</v>
      </c>
    </row>
    <row r="223" spans="1:4" ht="16" x14ac:dyDescent="0.2">
      <c r="A223" s="4"/>
      <c r="B223" s="2" t="s">
        <v>112</v>
      </c>
      <c r="C223" s="4" t="s">
        <v>10</v>
      </c>
      <c r="D223" s="4">
        <v>2</v>
      </c>
    </row>
    <row r="224" spans="1:4" ht="16" x14ac:dyDescent="0.2">
      <c r="A224" s="4"/>
      <c r="B224" s="2" t="s">
        <v>111</v>
      </c>
      <c r="C224" s="4" t="s">
        <v>5</v>
      </c>
      <c r="D224" s="4">
        <v>1</v>
      </c>
    </row>
    <row r="225" spans="1:4" ht="16" x14ac:dyDescent="0.2">
      <c r="A225" s="4"/>
      <c r="B225" s="2" t="s">
        <v>105</v>
      </c>
      <c r="C225" s="4" t="s">
        <v>98</v>
      </c>
      <c r="D225" s="4">
        <v>1</v>
      </c>
    </row>
    <row r="226" spans="1:4" ht="16" x14ac:dyDescent="0.2">
      <c r="A226" s="4"/>
      <c r="B226" s="2" t="s">
        <v>102</v>
      </c>
      <c r="C226" s="4" t="s">
        <v>98</v>
      </c>
      <c r="D226" s="4">
        <v>1</v>
      </c>
    </row>
    <row r="227" spans="1:4" ht="16" x14ac:dyDescent="0.2">
      <c r="A227" s="4"/>
      <c r="B227" s="2" t="s">
        <v>101</v>
      </c>
      <c r="C227" s="4" t="s">
        <v>98</v>
      </c>
      <c r="D227" s="4">
        <v>1</v>
      </c>
    </row>
    <row r="228" spans="1:4" ht="16" x14ac:dyDescent="0.2">
      <c r="A228" s="4"/>
      <c r="B228" s="2" t="s">
        <v>100</v>
      </c>
      <c r="C228" s="4" t="s">
        <v>98</v>
      </c>
      <c r="D228" s="4">
        <v>1</v>
      </c>
    </row>
    <row r="229" spans="1:4" ht="32" x14ac:dyDescent="0.2">
      <c r="A229" s="4"/>
      <c r="B229" s="2" t="s">
        <v>110</v>
      </c>
      <c r="C229" s="4" t="s">
        <v>98</v>
      </c>
      <c r="D229" s="4">
        <v>1</v>
      </c>
    </row>
    <row r="230" spans="1:4" ht="16" x14ac:dyDescent="0.2">
      <c r="A230" s="4">
        <v>22</v>
      </c>
      <c r="B230" s="2" t="s">
        <v>78</v>
      </c>
      <c r="C230" s="4" t="s">
        <v>3</v>
      </c>
      <c r="D230" s="4">
        <v>1</v>
      </c>
    </row>
    <row r="231" spans="1:4" ht="16" x14ac:dyDescent="0.2">
      <c r="A231" s="4"/>
      <c r="B231" s="2" t="s">
        <v>109</v>
      </c>
      <c r="C231" s="4" t="s">
        <v>93</v>
      </c>
      <c r="D231" s="4">
        <v>1</v>
      </c>
    </row>
    <row r="232" spans="1:4" ht="224" x14ac:dyDescent="0.2">
      <c r="A232" s="4"/>
      <c r="B232" s="2" t="s">
        <v>108</v>
      </c>
      <c r="C232" s="4" t="s">
        <v>93</v>
      </c>
      <c r="D232" s="4">
        <v>1</v>
      </c>
    </row>
    <row r="233" spans="1:4" ht="16" x14ac:dyDescent="0.2">
      <c r="A233" s="4"/>
      <c r="B233" s="2" t="s">
        <v>107</v>
      </c>
      <c r="C233" s="4" t="s">
        <v>93</v>
      </c>
      <c r="D233" s="4">
        <v>1</v>
      </c>
    </row>
    <row r="234" spans="1:4" ht="16" x14ac:dyDescent="0.2">
      <c r="A234" s="4"/>
      <c r="B234" s="2" t="s">
        <v>106</v>
      </c>
      <c r="C234" s="4" t="s">
        <v>10</v>
      </c>
      <c r="D234" s="4">
        <v>12</v>
      </c>
    </row>
    <row r="235" spans="1:4" ht="16" x14ac:dyDescent="0.2">
      <c r="A235" s="4"/>
      <c r="B235" s="2" t="s">
        <v>105</v>
      </c>
      <c r="C235" s="4" t="s">
        <v>103</v>
      </c>
      <c r="D235" s="4">
        <v>3</v>
      </c>
    </row>
    <row r="236" spans="1:4" ht="16" x14ac:dyDescent="0.2">
      <c r="A236" s="4"/>
      <c r="B236" s="2" t="s">
        <v>104</v>
      </c>
      <c r="C236" s="4" t="s">
        <v>103</v>
      </c>
      <c r="D236" s="4">
        <v>3</v>
      </c>
    </row>
    <row r="237" spans="1:4" ht="16" x14ac:dyDescent="0.2">
      <c r="A237" s="4"/>
      <c r="B237" s="2" t="s">
        <v>102</v>
      </c>
      <c r="C237" s="4" t="s">
        <v>98</v>
      </c>
      <c r="D237" s="4">
        <v>1</v>
      </c>
    </row>
    <row r="238" spans="1:4" ht="16" x14ac:dyDescent="0.2">
      <c r="A238" s="4"/>
      <c r="B238" s="2" t="s">
        <v>101</v>
      </c>
      <c r="C238" s="4" t="s">
        <v>98</v>
      </c>
      <c r="D238" s="4">
        <v>1</v>
      </c>
    </row>
    <row r="239" spans="1:4" ht="16" x14ac:dyDescent="0.2">
      <c r="A239" s="4"/>
      <c r="B239" s="2" t="s">
        <v>100</v>
      </c>
      <c r="C239" s="4" t="s">
        <v>98</v>
      </c>
      <c r="D239" s="4">
        <v>1</v>
      </c>
    </row>
    <row r="240" spans="1:4" ht="32" x14ac:dyDescent="0.2">
      <c r="A240" s="4"/>
      <c r="B240" s="2" t="s">
        <v>99</v>
      </c>
      <c r="C240" s="4" t="s">
        <v>98</v>
      </c>
      <c r="D240" s="4">
        <v>1</v>
      </c>
    </row>
    <row r="241" spans="1:4" ht="16" x14ac:dyDescent="0.2">
      <c r="A241" s="4">
        <v>23</v>
      </c>
      <c r="B241" s="2" t="s">
        <v>79</v>
      </c>
      <c r="C241" s="4" t="s">
        <v>80</v>
      </c>
      <c r="D241" s="4">
        <v>1</v>
      </c>
    </row>
    <row r="242" spans="1:4" ht="16" x14ac:dyDescent="0.2">
      <c r="A242" s="4"/>
      <c r="B242" s="2" t="s">
        <v>97</v>
      </c>
      <c r="C242" s="4" t="s">
        <v>93</v>
      </c>
      <c r="D242" s="4">
        <v>1</v>
      </c>
    </row>
    <row r="243" spans="1:4" ht="16" x14ac:dyDescent="0.2">
      <c r="A243" s="4"/>
      <c r="B243" s="2" t="s">
        <v>96</v>
      </c>
      <c r="C243" s="4" t="s">
        <v>93</v>
      </c>
      <c r="D243" s="4">
        <v>1</v>
      </c>
    </row>
    <row r="244" spans="1:4" ht="16" x14ac:dyDescent="0.2">
      <c r="A244" s="4"/>
      <c r="B244" s="2" t="s">
        <v>95</v>
      </c>
      <c r="C244" s="4" t="s">
        <v>93</v>
      </c>
      <c r="D244" s="4">
        <v>1</v>
      </c>
    </row>
    <row r="245" spans="1:4" ht="16" x14ac:dyDescent="0.2">
      <c r="A245" s="4"/>
      <c r="B245" s="2" t="s">
        <v>94</v>
      </c>
      <c r="C245" s="4" t="s">
        <v>93</v>
      </c>
      <c r="D245" s="4">
        <v>1</v>
      </c>
    </row>
    <row r="246" spans="1:4" ht="16" x14ac:dyDescent="0.2">
      <c r="A246" s="5"/>
      <c r="B246" s="6" t="s">
        <v>16</v>
      </c>
      <c r="C246" s="5"/>
      <c r="D246" s="5"/>
    </row>
    <row r="248" spans="1:4" x14ac:dyDescent="0.2">
      <c r="D248" s="13"/>
    </row>
    <row r="251" spans="1:4" s="8" customFormat="1" x14ac:dyDescent="0.2">
      <c r="A251" s="7"/>
      <c r="B251" s="3"/>
      <c r="C251" s="7"/>
      <c r="D251" s="7"/>
    </row>
    <row r="252" spans="1:4" s="8" customFormat="1" x14ac:dyDescent="0.2">
      <c r="A252" s="7"/>
      <c r="B252" s="3"/>
      <c r="C252" s="7"/>
      <c r="D252" s="7"/>
    </row>
    <row r="253" spans="1:4" s="8" customFormat="1" x14ac:dyDescent="0.2">
      <c r="A253" s="7"/>
      <c r="B253" s="3"/>
      <c r="C253" s="7"/>
      <c r="D253" s="7"/>
    </row>
    <row r="254" spans="1:4" s="8" customFormat="1" x14ac:dyDescent="0.2">
      <c r="A254" s="7"/>
      <c r="B254" s="3"/>
      <c r="C254" s="7"/>
      <c r="D254" s="7"/>
    </row>
    <row r="255" spans="1:4" s="8" customFormat="1" x14ac:dyDescent="0.2">
      <c r="A255" s="7"/>
      <c r="B255" s="3"/>
      <c r="C255" s="7"/>
      <c r="D255" s="7"/>
    </row>
    <row r="257" spans="1:4" s="8" customFormat="1" ht="28.5" customHeight="1" x14ac:dyDescent="0.2">
      <c r="A257" s="7"/>
      <c r="B257" s="3"/>
      <c r="C257" s="7"/>
      <c r="D257" s="7"/>
    </row>
    <row r="258" spans="1:4" s="8" customFormat="1" x14ac:dyDescent="0.2">
      <c r="A258" s="7"/>
      <c r="B258" s="3"/>
      <c r="C258" s="7"/>
      <c r="D258" s="7"/>
    </row>
    <row r="259" spans="1:4" s="8" customFormat="1" x14ac:dyDescent="0.2">
      <c r="A259" s="7"/>
      <c r="B259" s="3"/>
      <c r="C259" s="7"/>
      <c r="D259" s="7"/>
    </row>
    <row r="261" spans="1:4" s="8" customFormat="1" x14ac:dyDescent="0.2">
      <c r="A261" s="7"/>
      <c r="B261" s="3"/>
      <c r="C261" s="7"/>
      <c r="D261" s="7"/>
    </row>
  </sheetData>
  <mergeCells count="5">
    <mergeCell ref="C1:D1"/>
    <mergeCell ref="A2:A4"/>
    <mergeCell ref="B2:B4"/>
    <mergeCell ref="C2:C4"/>
    <mergeCell ref="D2:D4"/>
  </mergeCells>
  <pageMargins left="0.7" right="0.7" top="0.75" bottom="0.75" header="0.3" footer="0.3"/>
  <pageSetup paperSize="9" scale="31" fitToHeight="2"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Total Cash Flow</vt:lpstr>
      <vt:lpstr>Summary</vt:lpstr>
      <vt:lpstr>IT Components</vt:lpstr>
      <vt:lpstr> Non-IT components</vt:lpstr>
      <vt:lpstr>Support 3 Years</vt:lpstr>
      <vt:lpstr>Migration Support </vt:lpstr>
      <vt:lpstr>Implementation Resources</vt:lpstr>
      <vt:lpstr> Non-IT components Breakup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Nagaprasad D</dc:creator>
  <cp:lastModifiedBy>Sathish Balaji K</cp:lastModifiedBy>
  <cp:lastPrinted>2024-08-07T11:31:14Z</cp:lastPrinted>
  <dcterms:created xsi:type="dcterms:W3CDTF">2024-07-01T12:55:50Z</dcterms:created>
  <dcterms:modified xsi:type="dcterms:W3CDTF">2026-04-28T06:47:40Z</dcterms:modified>
</cp:coreProperties>
</file>